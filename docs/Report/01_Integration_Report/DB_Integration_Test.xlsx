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T\OneDrive - ut.edu.vn\Documents\Desktop\"/>
    </mc:Choice>
  </mc:AlternateContent>
  <xr:revisionPtr revIDLastSave="0" documentId="13_ncr:1_{295AD8B4-B17E-4D0F-A3F9-BA89BB85E17F}" xr6:coauthVersionLast="47" xr6:coauthVersionMax="47" xr10:uidLastSave="{00000000-0000-0000-0000-000000000000}"/>
  <bookViews>
    <workbookView xWindow="-120" yWindow="-120" windowWidth="29040" windowHeight="15720" firstSheet="2" activeTab="8" xr2:uid="{00000000-000D-0000-FFFF-FFFF00000000}"/>
  </bookViews>
  <sheets>
    <sheet name="Cover" sheetId="1" r:id="rId1"/>
    <sheet name="Test Case" sheetId="2" r:id="rId2"/>
    <sheet name="Test Statistics" sheetId="3" r:id="rId3"/>
    <sheet name="Feature 1" sheetId="4" r:id="rId4"/>
    <sheet name="Feature 2" sheetId="5" r:id="rId5"/>
    <sheet name="Feature 3" sheetId="6" r:id="rId6"/>
    <sheet name="Feature 4" sheetId="7" r:id="rId7"/>
    <sheet name="Feature 5" sheetId="8" r:id="rId8"/>
    <sheet name="Total API" sheetId="11" r:id="rId9"/>
    <sheet name="Trang tính28" sheetId="9"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4" l="1"/>
  <c r="E8" i="4"/>
  <c r="D6" i="4"/>
  <c r="E6" i="4"/>
  <c r="G19" i="3"/>
  <c r="E8" i="8"/>
  <c r="D8" i="8"/>
  <c r="C8" i="8"/>
  <c r="B8" i="8"/>
  <c r="E7" i="8"/>
  <c r="D7" i="8"/>
  <c r="C7" i="8"/>
  <c r="B7" i="8"/>
  <c r="E6" i="8"/>
  <c r="D6" i="8"/>
  <c r="C6" i="8"/>
  <c r="B6" i="8"/>
  <c r="D8" i="7"/>
  <c r="D6" i="7"/>
  <c r="D8" i="6"/>
  <c r="C8" i="6"/>
  <c r="D7" i="6"/>
  <c r="C7" i="6"/>
  <c r="D6" i="6"/>
  <c r="C6" i="6"/>
  <c r="D8" i="5"/>
  <c r="C8" i="5"/>
  <c r="D7" i="5"/>
  <c r="C7" i="5"/>
  <c r="D6" i="5"/>
  <c r="C6" i="5"/>
  <c r="C8" i="4"/>
  <c r="C6" i="4"/>
  <c r="E19" i="3" l="1"/>
  <c r="D19" i="3"/>
  <c r="F19" i="3"/>
  <c r="H19" i="3" l="1"/>
  <c r="E21" i="3" l="1"/>
  <c r="E22" i="3"/>
</calcChain>
</file>

<file path=xl/sharedStrings.xml><?xml version="1.0" encoding="utf-8"?>
<sst xmlns="http://schemas.openxmlformats.org/spreadsheetml/2006/main" count="3305" uniqueCount="1639">
  <si>
    <t>TEST REPORT DOCUMENT</t>
  </si>
  <si>
    <t>Project Name</t>
  </si>
  <si>
    <t>Creator</t>
  </si>
  <si>
    <t>Project Code</t>
  </si>
  <si>
    <t>EVMS62</t>
  </si>
  <si>
    <t>Issue Date</t>
  </si>
  <si>
    <t>Document Code</t>
  </si>
  <si>
    <t>Version</t>
  </si>
  <si>
    <t>v1.0.3</t>
  </si>
  <si>
    <t>Record of change</t>
  </si>
  <si>
    <t xml:space="preserve">          </t>
  </si>
  <si>
    <t>Change Item</t>
  </si>
  <si>
    <t>*A,D,M</t>
  </si>
  <si>
    <t>Change description</t>
  </si>
  <si>
    <t>Reference</t>
  </si>
  <si>
    <t>v1.0.0</t>
  </si>
  <si>
    <t>A</t>
  </si>
  <si>
    <t>v1.0.1</t>
  </si>
  <si>
    <t>A, M</t>
  </si>
  <si>
    <t>v1.0.2</t>
  </si>
  <si>
    <t>Test Enviroment                          Setup Description</t>
  </si>
  <si>
    <t>TT</t>
  </si>
  <si>
    <t>Function Name</t>
  </si>
  <si>
    <t>Sheet Name</t>
  </si>
  <si>
    <t>Description</t>
  </si>
  <si>
    <t>Pre-Condition
(Optional)</t>
  </si>
  <si>
    <t>Feature 1</t>
  </si>
  <si>
    <t>Feature 2</t>
  </si>
  <si>
    <t>Feature 3</t>
  </si>
  <si>
    <t>Feature 4</t>
  </si>
  <si>
    <t>TEST STATISTICS</t>
  </si>
  <si>
    <t>Reviewer/Approver</t>
  </si>
  <si>
    <t>EVMS62_Integration_Test_Report_v1.0</t>
  </si>
  <si>
    <t>Notes</t>
  </si>
  <si>
    <t>No</t>
  </si>
  <si>
    <t>Module code</t>
  </si>
  <si>
    <t>Passed</t>
  </si>
  <si>
    <t>Failed</t>
  </si>
  <si>
    <t>Pending</t>
  </si>
  <si>
    <t>N/A</t>
  </si>
  <si>
    <t>Number of  test cases</t>
  </si>
  <si>
    <t>Sub total</t>
  </si>
  <si>
    <t>Test coverage</t>
  </si>
  <si>
    <t>%</t>
  </si>
  <si>
    <t>Test successful coverage</t>
  </si>
  <si>
    <t xml:space="preserve"> </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</si>
  <si>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</si>
  <si>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</si>
  <si>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</si>
  <si>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</si>
  <si>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</si>
  <si>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</si>
  <si>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</si>
  <si>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</si>
  <si>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</si>
  <si>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</si>
  <si>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</si>
  <si>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</si>
  <si>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</si>
  <si>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</si>
  <si>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</si>
  <si>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ITC_1.1</t>
  </si>
  <si>
    <t>ITC_1.2</t>
  </si>
  <si>
    <t>ITC_1.3</t>
  </si>
  <si>
    <t>Không có.</t>
  </si>
  <si>
    <t>ITC_2.1</t>
  </si>
  <si>
    <t>ITC_2.2</t>
  </si>
  <si>
    <t>ITC_2.3</t>
  </si>
  <si>
    <t>ITC_3.1</t>
  </si>
  <si>
    <t>ITC_3.2</t>
  </si>
  <si>
    <t>ITC_3.3</t>
  </si>
  <si>
    <t>ITC_4.1</t>
  </si>
  <si>
    <t>ITC_5.1</t>
  </si>
  <si>
    <t>ITC_6.1</t>
  </si>
  <si>
    <t>ITC_7.1</t>
  </si>
  <si>
    <t>ITC_7.3</t>
  </si>
  <si>
    <t>ITC_8.1</t>
  </si>
  <si>
    <t>ITC_8.2</t>
  </si>
  <si>
    <t>ITC_8.3</t>
  </si>
  <si>
    <t>ITC_9.1</t>
  </si>
  <si>
    <t>ITC_9.2</t>
  </si>
  <si>
    <t>ITC_9.3</t>
  </si>
  <si>
    <t>ITC_10.1</t>
  </si>
  <si>
    <t>ITC_10.2</t>
  </si>
  <si>
    <t>ITC_10.3</t>
  </si>
  <si>
    <t>ITC_11.1</t>
  </si>
  <si>
    <t>ITC_11.2</t>
  </si>
  <si>
    <t>ITC_11.3</t>
  </si>
  <si>
    <t>ITC_12.1</t>
  </si>
  <si>
    <t>ITC_12.2</t>
  </si>
  <si>
    <t>ITC_12.3</t>
  </si>
  <si>
    <t>Payment &amp; Financial Management and Analytics &amp; Reporting</t>
  </si>
  <si>
    <t>DOCTOR BOOKING SYSTEM</t>
  </si>
  <si>
    <t>Phong Dat</t>
  </si>
  <si>
    <t>EVMS62 Integration Test Report v1.0.4</t>
  </si>
  <si>
    <t>v1.0.4</t>
  </si>
  <si>
    <t>Khởi tạo hệ thống &amp; Authentication</t>
  </si>
  <si>
    <t>Khởi tạo dự án Spring Boot + React Vite. Xây dựng module đăng nhập, JWT, phân quyền (PATIENT, DOCTOR, OWNER, SYSTEM_ADMIN). Tạo kiến trúc backend cơ bản.</t>
  </si>
  <si>
    <t>Admin &amp; Staff Management</t>
  </si>
  <si>
    <t>Hoàn thiện chức năng quản lý nhân viên (CRUD). BVA cơ bản cho Form (họ tên min=1, max=50; SĐT min=9, max=11). CI/CD cơ bản với GitHub Actions.</t>
  </si>
  <si>
    <t>Appointment &amp; Booking System</t>
  </si>
  <si>
    <t>Hoàn thiện module đặt lịch khám, quản lý thành viên gia đình, Wallet &amp; Payment. Tích hợp Email Notification. CI/CD song song hóa với Newman API Tests + SonarCloud.</t>
  </si>
  <si>
    <t>BVA Backend Logic &amp; E2E Testing</t>
  </si>
  <si>
    <t>Phát hiện 4 lỗi logic nghiêm trọng qua phương pháp BVA (Past-time booking, Arbitrary time slots, Duplicate SELF, Null Pointer Feedback). Tích hợp CodeceptJS + Playwright E2E headless. Tài liệu hóa TESTING_SYSTEM.md.</t>
  </si>
  <si>
    <t>TEST CASE LIST</t>
  </si>
  <si>
    <t>1. Server (Windows/Linux, Java 17+, Port 8080) 2. MySQL 8.x (Port 3306, Database: doctorbooking_db) 3. React Vite Frontend (Port 5173) 4. Newman/Postman API Testing 5. CodeceptJS + Playwright E2E (Headless Chromium)</t>
  </si>
  <si>
    <t>healthCheck</t>
  </si>
  <si>
    <t>Kiểm tra Endpoint y tế công khai của hệ thống (không cần đăng nhập).</t>
  </si>
  <si>
    <t>register_patient</t>
  </si>
  <si>
    <t>Đăng ký tài khoản Bệnh nhân mới — BVA biên trong (email, password hợp lệ).</t>
  </si>
  <si>
    <t>register_doctor</t>
  </si>
  <si>
    <t>Đăng ký tài khoản Bác sĩ mới thành công.</t>
  </si>
  <si>
    <t>register_admin</t>
  </si>
  <si>
    <t>Đăng ký tài khoản Quản trị viên mới thành công.</t>
  </si>
  <si>
    <t>register_noRole_defaultPatient</t>
  </si>
  <si>
    <t>Đăng ký không chỉ định role → tự động gán PATIENT.</t>
  </si>
  <si>
    <t>register_fail_duplicateUsername</t>
  </si>
  <si>
    <t>Từ chối đăng ký khi trùng Username.</t>
  </si>
  <si>
    <t>register_fail_duplicateEmail</t>
  </si>
  <si>
    <t>Từ chối đăng ký khi trùng Email.</t>
  </si>
  <si>
    <t>register_fail_invalidFormat</t>
  </si>
  <si>
    <t>Từ chối đăng ký sai định dạng email / SQL Injection / XSS — BVA biên ngoài.</t>
  </si>
  <si>
    <t>login_success_patient</t>
  </si>
  <si>
    <t>Đăng nhập thành công, trả về JWT Token và thông tin cá nhân bệnh nhân.</t>
  </si>
  <si>
    <t>login_success_admin</t>
  </si>
  <si>
    <t>Đăng nhập tài khoản Quản trị viên thành công.</t>
  </si>
  <si>
    <t>login_fail_wrongPassword</t>
  </si>
  <si>
    <t>Từ chối đăng nhập khi sai mật khẩu.</t>
  </si>
  <si>
    <t>login_noProfile_nullFullName</t>
  </si>
  <si>
    <t>Đăng nhập tài khoản chưa điền thông tin cá nhân → trả về tên rỗng (không crash).</t>
  </si>
  <si>
    <t>contextLoads</t>
  </si>
  <si>
    <t>Đảm bảo Spring Boot Application Context khởi tạo thành công.</t>
  </si>
  <si>
    <t>protectedRoute_noToken</t>
  </si>
  <si>
    <t>Gọi API nội bộ không có header Authorization → 403 Forbidden.</t>
  </si>
  <si>
    <t>protectedRoute_wrongRole_doctor</t>
  </si>
  <si>
    <t>Dùng Token bác sĩ truy cập API của bệnh nhân → 403 Forbidden.</t>
  </si>
  <si>
    <t>protectedRoute_wrongMethod_POST</t>
  </si>
  <si>
    <t>Gọi Health Check bằng phương thức POST → 405 Method Not Allowed.</t>
  </si>
  <si>
    <t>authSession_3roles_tokenValid</t>
  </si>
  <si>
    <t>Khởi tạo lại và đăng nhập 3 vai trò (PATIENT, DOCTOR, ADMIN) lấy Token đồng thời.</t>
  </si>
  <si>
    <t>register_invalidRole_defaultPatient</t>
  </si>
  <si>
    <t>Đăng ký với role không hợp lệ → tự động gán PATIENT.</t>
  </si>
  <si>
    <t>getPatientProfile</t>
  </si>
  <si>
    <t>Bệnh nhân xem hồ sơ cá nhân của mình (200 OK).</t>
  </si>
  <si>
    <t>updatePatientProfile</t>
  </si>
  <si>
    <t>Bệnh nhân cập nhật thông tin cá nhân thành công.</t>
  </si>
  <si>
    <t>getPatientProfile_noToken</t>
  </si>
  <si>
    <t>Xem hồ sơ khi không truyền Token → 403.</t>
  </si>
  <si>
    <t>getPatientProfile_doctorToken</t>
  </si>
  <si>
    <t>Dùng Token bác sĩ xem hồ sơ bệnh nhân → 403.</t>
  </si>
  <si>
    <t>listDoctors_byPatient</t>
  </si>
  <si>
    <t>Bệnh nhân xem danh sách bác sĩ công khai.</t>
  </si>
  <si>
    <t>getDoctorById_valid</t>
  </si>
  <si>
    <t>Xem chi tiết bác sĩ theo ID hợp lệ.</t>
  </si>
  <si>
    <t>getDoctorById_notFound</t>
  </si>
  <si>
    <t>Tìm bác sĩ với ID không tồn tại → 404.</t>
  </si>
  <si>
    <t>getDoctorProfile_byDoctor</t>
  </si>
  <si>
    <t>Bác sĩ xem hồ sơ cá nhân của mình.</t>
  </si>
  <si>
    <t>updateDoctorProfile</t>
  </si>
  <si>
    <t>Bác sĩ cập nhật thông tin chuyên khoa / lịch làm việc.</t>
  </si>
  <si>
    <t>getDoctorProfile_patientToken</t>
  </si>
  <si>
    <t>Dùng Token bệnh nhân xem API hồ sơ bác sĩ → 403.</t>
  </si>
  <si>
    <t>admin_listDoctors</t>
  </si>
  <si>
    <t>Admin xem toàn bộ danh sách bác sĩ trong hệ thống.</t>
  </si>
  <si>
    <t>admin_getDoctorById</t>
  </si>
  <si>
    <t>Admin xem chi tiết bác sĩ theo ID.</t>
  </si>
  <si>
    <t>admin_searchDoctor</t>
  </si>
  <si>
    <t>Admin tìm kiếm bác sĩ theo tên/chuyên khoa.</t>
  </si>
  <si>
    <t>admin_createDoctor_missingField</t>
  </si>
  <si>
    <t>Tạo bác sĩ mới thiếu trường bắt buộc → 400.</t>
  </si>
  <si>
    <t>admin_getDoctorNotFound</t>
  </si>
  <si>
    <t>Tìm bác sĩ không có thực → 404.</t>
  </si>
  <si>
    <t>admin_listPatients</t>
  </si>
  <si>
    <t>Admin xem toàn bộ danh sách bệnh nhân.</t>
  </si>
  <si>
    <t>admin_getPatientById</t>
  </si>
  <si>
    <t>Admin xem chi tiết hồ sơ bệnh nhân.</t>
  </si>
  <si>
    <t>admin_getPatientNotFound</t>
  </si>
  <si>
    <t>Xem bệnh nhân không tồn tại → 404.</t>
  </si>
  <si>
    <t>admin_listUsers</t>
  </si>
  <si>
    <t>Admin xem danh sách tài khoản người dùng toàn hệ thống.</t>
  </si>
  <si>
    <t>admin_createUser_invalidEmail</t>
  </si>
  <si>
    <t>Tạo tài khoản sai email → 400.</t>
  </si>
  <si>
    <t>getAvailableSlots_empty</t>
  </si>
  <si>
    <t>Trả về toàn bộ 17 khung giờ khi bác sĩ chưa có lịch hẹn nào.</t>
  </si>
  <si>
    <t>getAvailableSlots_removePending</t>
  </si>
  <si>
    <t>Loại bỏ khung giờ có trạng thái PENDING khỏi danh sách slot trống.</t>
  </si>
  <si>
    <t>getAvailableSlots_confirmedRemovedCancelledKept</t>
  </si>
  <si>
    <t>Loại bỏ CONFIRMED, nhưng giữ lại slot đã CANCELLED.</t>
  </si>
  <si>
    <t>createAppointment_cash_success</t>
  </si>
  <si>
    <t>Đặt lịch khám thành công với hình thức thanh toán Tiền mặt.</t>
  </si>
  <si>
    <t>createAppointment_wallet_success</t>
  </si>
  <si>
    <t>Đặt lịch khám và tự động thanh toán qua Ví điện tử thành công.</t>
  </si>
  <si>
    <t>createAppointment_doctorNotFound</t>
  </si>
  <si>
    <t>Báo lỗi khi đặt lịch với bác sĩ không tồn tại → 404.</t>
  </si>
  <si>
    <t>createAppointment_doctorNotActive</t>
  </si>
  <si>
    <t>Không cho phép đặt lịch với bác sĩ đang tạm ngưng hoạt động.</t>
  </si>
  <si>
    <t>createAppointment_slotAlreadyTaken</t>
  </si>
  <si>
    <t>Trả về lỗi khi chọn ca khám đã có người đặt trước.</t>
  </si>
  <si>
    <t>createAppointment_pastDate</t>
  </si>
  <si>
    <t>Không cho phép đặt lịch vào các ngày trong quá khứ.</t>
  </si>
  <si>
    <t>createAppointment_missingDoctorId</t>
  </si>
  <si>
    <t>Đặt lịch thiếu ID bác sĩ → 400 Bad Request.</t>
  </si>
  <si>
    <t>createAppointment_invalidTimeFormat</t>
  </si>
  <si>
    <t>Đặt lịch sai định dạng thời gian → 400.</t>
  </si>
  <si>
    <t>createAppointment_noToken</t>
  </si>
  <si>
    <t>Đặt lịch không có Token → 403.</t>
  </si>
  <si>
    <t>cancelAppointment_pending_cash</t>
  </si>
  <si>
    <t>Bệnh nhân tự hủy lịch hẹn PENDING (tiền mặt — không hoàn tiền).</t>
  </si>
  <si>
    <t>cancelAppointment_wallet_refund</t>
  </si>
  <si>
    <t>Hủy lịch hẹn đã thanh toán bằng ví → Tự động hoàn tiền vào ví điện tử.</t>
  </si>
  <si>
    <t>cancelAppointment_wrongPatient</t>
  </si>
  <si>
    <t>Không cho phép bệnh nhân này hủy lịch hẹn của bệnh nhân khác → 403.</t>
  </si>
  <si>
    <t>cancelAppointment_completed</t>
  </si>
  <si>
    <t>Không thể hủy lịch hẹn đã khám xong (COMPLETED).</t>
  </si>
  <si>
    <t>cancelAppointment_alreadyCancelled</t>
  </si>
  <si>
    <t>Không thể hủy một lịch hẹn đã được hủy trước đó.</t>
  </si>
  <si>
    <t>confirmAppointment_success</t>
  </si>
  <si>
    <t>Bác sĩ xác nhận lịch hẹn PENDING → chuyển sang CONFIRMED.</t>
  </si>
  <si>
    <t>confirmAppointment_wrongDoctor</t>
  </si>
  <si>
    <t>Bác sĩ không thể xác nhận lịch khám dành cho bác sĩ khác.</t>
  </si>
  <si>
    <t>confirmAppointment_notPending</t>
  </si>
  <si>
    <t>Chỉ cho phép xác nhận các lịch hẹn đang ở trạng thái PENDING.</t>
  </si>
  <si>
    <t>getAppointmentsByDate_null</t>
  </si>
  <si>
    <t>Lấy toàn bộ lịch hẹn khi không lọc theo ngày (null date).</t>
  </si>
  <si>
    <t>getAppointmentsByDate_filtered</t>
  </si>
  <si>
    <t>Lọc danh sách lịch hẹn chính xác theo ngày chỉ định.</t>
  </si>
  <si>
    <t>doctor_listAppointments</t>
  </si>
  <si>
    <t>Bác sĩ xem danh sách lịch hẹn của mình.</t>
  </si>
  <si>
    <t>doctor_getAppointmentDetail</t>
  </si>
  <si>
    <t>Bác sĩ xem chi tiết một lịch hẹn cụ thể.</t>
  </si>
  <si>
    <t>doctor_getAppointment_notFound</t>
  </si>
  <si>
    <t>Xem ca khám không tồn tại → 404.</t>
  </si>
  <si>
    <t>admin_listAllAppointments</t>
  </si>
  <si>
    <t>Admin xem toàn bộ ca khám của hệ thống.</t>
  </si>
  <si>
    <t>admin_getAppointment_notFound</t>
  </si>
  <si>
    <t>Admin xem chi tiết ca khám không tồn tại → 404.</t>
  </si>
  <si>
    <t>createTreatment_success</t>
  </si>
  <si>
    <t>Bác sĩ tạo bệnh án / kê đơn thuốc mới thành công (201 Created).</t>
  </si>
  <si>
    <t>createTreatment_missingPatient</t>
  </si>
  <si>
    <t>Tạo bệnh án thiếu thông tin bệnh nhân → 400.</t>
  </si>
  <si>
    <t>listTreatments_byDoctor</t>
  </si>
  <si>
    <t>Bác sĩ xem danh sách bệnh án đã tạo.</t>
  </si>
  <si>
    <t>listPatients_byDoctor</t>
  </si>
  <si>
    <t>Bác sĩ xem danh sách bệnh nhân của mình.</t>
  </si>
  <si>
    <t>getPatientDetail_byDoctor</t>
  </si>
  <si>
    <t>Bác sĩ xem thông tin chi tiết từng bệnh nhân.</t>
  </si>
  <si>
    <t>getPatientDetail_notFound_byDoctor</t>
  </si>
  <si>
    <t>Xem chi tiết bệnh nhân không tồn tại → 404.</t>
  </si>
  <si>
    <t>listTreatments_byPatient</t>
  </si>
  <si>
    <t>Bệnh nhân xem danh sách đơn thuốc / bệnh án cá nhân.</t>
  </si>
  <si>
    <t>getTreatmentDetail_byPatient</t>
  </si>
  <si>
    <t>Bệnh nhân xem chi tiết một đơn thuốc cụ thể.</t>
  </si>
  <si>
    <t>getTreatmentDetail_notFound</t>
  </si>
  <si>
    <t>Xem đơn thuốc không tồn tại → 404.</t>
  </si>
  <si>
    <t>listFamilyMembers</t>
  </si>
  <si>
    <t>Bệnh nhân xem danh sách thành viên gia đình đã đăng ký.</t>
  </si>
  <si>
    <t>addFamilyMember_success</t>
  </si>
  <si>
    <t>Thêm người nhà thành công (BVA họ tên 1–50 ký tự, SĐT 9–11 ký tự).</t>
  </si>
  <si>
    <t>addFamilyMember_missingName</t>
  </si>
  <si>
    <t>Thêm người nhà thiếu tên → 400.</t>
  </si>
  <si>
    <t>deleteFamilyMember_notFound</t>
  </si>
  <si>
    <t>Xóa người nhà không tồn tại → 404.</t>
  </si>
  <si>
    <t>walletGetBalance</t>
  </si>
  <si>
    <t>Bệnh nhân xem số dư ví điện tử hiện tại.</t>
  </si>
  <si>
    <t>walletListTransactions</t>
  </si>
  <si>
    <t>Bệnh nhân xem lịch sử giao dịch ví.</t>
  </si>
  <si>
    <t>walletTopUp_success</t>
  </si>
  <si>
    <t>Nạp tiền vào ví thành công với số tiền biên hợp lệ (≥ 10.000 VND).</t>
  </si>
  <si>
    <t>walletTopUp_belowMinimum</t>
  </si>
  <si>
    <t>Nạp tiền dưới 10.000 VND → 400 Bad Request (BVA biên ngoài).</t>
  </si>
  <si>
    <t>payForAppointment_success</t>
  </si>
  <si>
    <t>Thanh toán phí khám thành công khi số dư đủ.</t>
  </si>
  <si>
    <t>payForAppointment_insufficientBalance</t>
  </si>
  <si>
    <t>Báo lỗi khi số dư không đủ để thanh toán.</t>
  </si>
  <si>
    <t>loyaltyTier_bva_0_bronze</t>
  </si>
  <si>
    <t>Điểm tích lũy = 0 → giữ hạng BRONZE (BVA biên dưới).</t>
  </si>
  <si>
    <t>loyaltyTier_bva_999_bronze</t>
  </si>
  <si>
    <t>Điểm = 999 → vẫn BRONZE — ngay dưới biên SILVER.</t>
  </si>
  <si>
    <t>loyaltyTier_bva_1000_silver</t>
  </si>
  <si>
    <t>Điểm = 1000 → nâng hạng SILVER (BVA biên trên).</t>
  </si>
  <si>
    <t>loyaltyTier_bva_1001_silver</t>
  </si>
  <si>
    <t>Điểm = 1001 → vẫn SILVER — ngay trên biên SILVER.</t>
  </si>
  <si>
    <t>loyaltyTier_bva_4999_silver</t>
  </si>
  <si>
    <t>Điểm = 4999 → vẫn SILVER — ngay dưới biên GOLD.</t>
  </si>
  <si>
    <t>loyaltyTier_bva_5000_gold</t>
  </si>
  <si>
    <t>Điểm = 5000 → nâng hạng GOLD (BVA biên trên).</t>
  </si>
  <si>
    <t>loyaltyTier_bva_9999_gold</t>
  </si>
  <si>
    <t>Điểm = 9999 → vẫn GOLD — ngay dưới biên PLATINUM.</t>
  </si>
  <si>
    <t>loyaltyTier_bva_10000_platinum</t>
  </si>
  <si>
    <t>Điểm = 10000 → nâng hạng PLATINUM (BVA biên trên).</t>
  </si>
  <si>
    <t>completeDeposit_success</t>
  </si>
  <si>
    <t>Hoàn tất giao dịch nạp tiền thành công.</t>
  </si>
  <si>
    <t>completeDeposit_alreadyCompleted</t>
  </si>
  <si>
    <t>Giao dịch đã COMPLETED không thể nạp lại.</t>
  </si>
  <si>
    <t>createFeedback_success</t>
  </si>
  <si>
    <t>Tạo phản hồi thành công cho lịch khám đã COMPLETED.</t>
  </si>
  <si>
    <t>createFeedback_appointmentNotCompleted</t>
  </si>
  <si>
    <t>createFeedback_appointmentNotBelongToPatient</t>
  </si>
  <si>
    <t>createFeedback_alreadyExists</t>
  </si>
  <si>
    <t>createFeedback_missingRating</t>
  </si>
  <si>
    <t>createFeedback_ratingOutOfRange</t>
  </si>
  <si>
    <t>updateFeedback_success</t>
  </si>
  <si>
    <t>updateFeedback_wrongPatient</t>
  </si>
  <si>
    <t>updateFeedback_afterDoctorReply</t>
  </si>
  <si>
    <t>updateFeedback_bva_within24h</t>
  </si>
  <si>
    <t>updateFeedback_bva_exactly24h</t>
  </si>
  <si>
    <t>updateFeedback_bva_after24h</t>
  </si>
  <si>
    <t>replyToFeedback_success</t>
  </si>
  <si>
    <t>replyToFeedback_wrongDoctor</t>
  </si>
  <si>
    <t>averageRating_noFeedbacks</t>
  </si>
  <si>
    <t>averageRating_withHiddenFeedbacks</t>
  </si>
  <si>
    <t>averageRating_allHidden</t>
  </si>
  <si>
    <t>hideFeedback_success</t>
  </si>
  <si>
    <t>unhideFeedback_success</t>
  </si>
  <si>
    <t>getDoctorFeedbacks_filtersHidden</t>
  </si>
  <si>
    <t>Báo lỗi khi tạo phản hồi cho lịch khám chưa hoàn thành.</t>
  </si>
  <si>
    <t>Báo lỗi khi phản hồi lịch khám của bệnh nhân khác.</t>
  </si>
  <si>
    <t>Không cho phép tạo phản hồi lần 2 cho cùng 1 lịch khám.</t>
  </si>
  <si>
    <t>Đăng phản hồi thiếu rating → 400 (BVA biên ngoài).</t>
  </si>
  <si>
    <t>Rating ngoài biên [1–5] → 400 Bad Request (BVA).</t>
  </si>
  <si>
    <t>Cập nhật phản hồi thành công (trong 24 giờ, chưa có phản hồi bác sĩ).</t>
  </si>
  <si>
    <t>Không cho phép bệnh nhân khác sửa phản hồi.</t>
  </si>
  <si>
    <t>Không cho phép chỉnh sửa sau khi bác sĩ đã phản hồi.</t>
  </si>
  <si>
    <t>Sửa thành công ở 23 giờ 59 phút 59 giây (BVA biên trong).</t>
  </si>
  <si>
    <t>Sửa thành công ở chính xác 24 giờ (BVA biên).</t>
  </si>
  <si>
    <t>Thất bại khi sửa ở 24 giờ 00 phút 01 giây (BVA biên ngoài).</t>
  </si>
  <si>
    <t>Bác sĩ phản hồi nhận xét của bệnh nhân thành công.</t>
  </si>
  <si>
    <t>Bác sĩ không thể phản hồi nhận xét dành cho bác sĩ khác.</t>
  </si>
  <si>
    <t>Điểm đánh giá trung bình = 0.0 khi bác sĩ chưa có nhận xét nào.</t>
  </si>
  <si>
    <t>Điểm trung bình không tính các nhận xét bị ẩn.</t>
  </si>
  <si>
    <t>Trả về trung bình 0.0 nếu tất cả nhận xét của bác sĩ bị ẩn.</t>
  </si>
  <si>
    <t>Admin ẩn nhận xét xấu / không phù hợp thành công.</t>
  </si>
  <si>
    <t>Admin bỏ ẩn nhận xét thành công.</t>
  </si>
  <si>
    <t>Danh sách nhận xét trả về cho người dùng không chứa nhận xét bị ẩn.</t>
  </si>
  <si>
    <t xml:space="preserve">Feature 4	</t>
  </si>
  <si>
    <t>getByStatus_nullStatus_returnsAll</t>
  </si>
  <si>
    <t>Admin lấy toàn bộ danh sách khi không chỉ định trạng thái lọc.</t>
  </si>
  <si>
    <t>getByStatus_validStatus_filters</t>
  </si>
  <si>
    <t>Admin lọc danh sách phản hồi theo trạng thái (PENDING, REPLIED).</t>
  </si>
  <si>
    <t>getByStatus_invalidStatus_returnsAll</t>
  </si>
  <si>
    <t>Lấy toàn bộ danh sách nếu truyền trạng thái không hợp lệ.</t>
  </si>
  <si>
    <t>admin_listFeedbacks</t>
  </si>
  <si>
    <t>Admin xem toàn bộ nhận xét của hệ thống.</t>
  </si>
  <si>
    <t>admin_filterFeedback_byDoctor</t>
  </si>
  <si>
    <t>Admin lọc nhận xét theo bác sĩ cụ thể.</t>
  </si>
  <si>
    <t>admin_getFeedback_notFound</t>
  </si>
  <si>
    <t>Xem nhận xét không tồn tại → 404.</t>
  </si>
  <si>
    <t>doctor_listMedicines</t>
  </si>
  <si>
    <t>Bác sĩ xem danh sách thuốc kê toa.</t>
  </si>
  <si>
    <t>doctor_listPatientFeedbacks</t>
  </si>
  <si>
    <t>Bác sĩ xem nhận xét của bệnh nhân về mình.</t>
  </si>
  <si>
    <t>doctor_filterFeedback_invalidRating</t>
  </si>
  <si>
    <t>Lọc nhận xét theo điểm đánh giá không hợp lệ → 400.</t>
  </si>
  <si>
    <t>ai_symptomCheck_success</t>
  </si>
  <si>
    <t>Gọi AI chẩn đoán triệu chứng thông thường (200 / 503 nếu offline).</t>
  </si>
  <si>
    <t>ai_symptomCheck_emptyInput</t>
  </si>
  <si>
    <t>Gửi triệu chứng rỗng lên AI → 400 Bad Request.</t>
  </si>
  <si>
    <t>notification_list</t>
  </si>
  <si>
    <t>Xem toàn bộ thông báo của bệnh nhân.</t>
  </si>
  <si>
    <t>notification_countUnread</t>
  </si>
  <si>
    <t>Đếm số thông báo chưa đọc.</t>
  </si>
  <si>
    <t>notification_markRead</t>
  </si>
  <si>
    <t>Đánh dấu thông báo đã đọc thành công.</t>
  </si>
  <si>
    <t>notification_readNotFound</t>
  </si>
  <si>
    <t>Đọc thông báo không tồn tại → 404.</t>
  </si>
  <si>
    <t>e2e_fullFlow_bookingToFeedback</t>
  </si>
  <si>
    <t>e2e_debugRolesAndDB</t>
  </si>
  <si>
    <t>Endpoint kiểm tra thông tin phân quyền và kết nối CSDL (debug CI).</t>
  </si>
  <si>
    <t>E2E: Kịch bản trọn vẹn: Đặt lịch → Xác nhận → Khám &amp; Kê đơn → Đánh giá → Dọn dẹp.</t>
  </si>
  <si>
    <t>Authentication &amp; Authorization</t>
  </si>
  <si>
    <t>User &amp; Staff Management</t>
  </si>
  <si>
    <t>Appointment &amp; Scheduling</t>
  </si>
  <si>
    <t>Wallet &amp; Payment</t>
  </si>
  <si>
    <t>Family Member Management</t>
  </si>
  <si>
    <t>Treatment Management</t>
  </si>
  <si>
    <t>Feedback &amp; Rating</t>
  </si>
  <si>
    <t>AI, Notification &amp; E2E Testing</t>
  </si>
  <si>
    <t>Huỳnh Phong Đạt</t>
  </si>
  <si>
    <t>Feature 1–4: Authentication, User Management, Appointment Booking, Feedback &amp; BVA Logic Testing. 4 BVA boundary bugs discovered — pending fix.</t>
  </si>
  <si>
    <t>Authentication &amp; Authorization Management</t>
  </si>
  <si>
    <t>Kiểm tra đăng nhập (JWT), đăng ký tài khoản (PATIENT/DOCTOR/ADMIN), phân quyền truy cập theo role và bảo mật API endpoint.</t>
  </si>
  <si>
    <t>Function 1: login</t>
  </si>
  <si>
    <t>Đăng nhập thành công với tài khoản PATIENT hợp lệ</t>
  </si>
  <si>
    <t>Tài khoản ACTIVE trong DB.</t>
  </si>
  <si>
    <t>Token được dùng cho toàn bộ test suite Patient</t>
  </si>
  <si>
    <t>1. POST /api/auth/login. 
2. Email: "patient@test.com". 3. Password: "Test@1234". 
4. Gửi request.</t>
  </si>
  <si>
    <t>1. HTTP 200 OK. 
2. JWT token hợp lệ được trả về. 
3. Role "PATIENT" trong response.</t>
  </si>
  <si>
    <t>Đăng nhập thất bại khi sai mật khẩu</t>
  </si>
  <si>
    <t>Tài khoản tồn tại trong DB.</t>
  </si>
  <si>
    <t>Security test — đảm bảo không lộ thông tin nhạy cảm</t>
  </si>
  <si>
    <t>Đăng nhập thiếu trường bắt buộc (email rỗng)</t>
  </si>
  <si>
    <t>1. POST /api/auth/login. 2. Để trống email. 3. Nhập password. 4. Gửi request.</t>
  </si>
  <si>
    <t>1. HTTP 400 Bad Request. 2. Validation message cho email.</t>
  </si>
  <si>
    <t>Bean Validation (@NotBlank) phía backend</t>
  </si>
  <si>
    <t>ITC_1.4</t>
  </si>
  <si>
    <t>Đăng nhập thành công với tài khoản DOCTOR</t>
  </si>
  <si>
    <t>Tài khoản DOCTOR tồn tại và ACTIVE.</t>
  </si>
  <si>
    <t>Token Doctor dùng cho test suite Doctor</t>
  </si>
  <si>
    <t>1. POST /api/auth/login. 
2. Email hợp lệ. 
3. Password: "WrongPass".
4. Gửi request.</t>
  </si>
  <si>
    <t>1. HTTP 401 Unauthorized. 
2. Thông báo "Bad credentials". 
3. Không có token.</t>
  </si>
  <si>
    <t>ITC_1.5</t>
  </si>
  <si>
    <t>Đăng nhập thành công với tài khoản SYSTEM_ADMIN</t>
  </si>
  <si>
    <t>Tài khoản ADMIN tồn tại và ACTIVE.</t>
  </si>
  <si>
    <t>Token Admin dùng cho test suite Admin</t>
  </si>
  <si>
    <t>1. POST /api/auth/login với thông tin bác sĩ.
2. Gửi request.</t>
  </si>
  <si>
    <t>1. HTTP 200 OK. 
2. Token hợp lệ. 
3. Role "DOCTOR" trong response.</t>
  </si>
  <si>
    <t>1. POST /api/auth/login với thông tin admin. 
2. Gửi request.</t>
  </si>
  <si>
    <t>1. HTTP 200 OK. 
2. Role "SYSTEM_ADMIN" trong response.</t>
  </si>
  <si>
    <t>Function 2: register</t>
  </si>
  <si>
    <t>Đăng ký tài khoản bệnh nhân mới thành công</t>
  </si>
  <si>
    <t>Email và username chưa tồn tại.</t>
  </si>
  <si>
    <t>Dữ liệu test được reset trước mỗi round</t>
  </si>
  <si>
    <t>Đăng ký thất bại khi trùng email</t>
  </si>
  <si>
    <t>Email đã có trong DB.</t>
  </si>
  <si>
    <t>Unique constraint ở DB layer</t>
  </si>
  <si>
    <t>Đăng ký thất bại khi trùng username</t>
  </si>
  <si>
    <t>Username đã có trong DB.</t>
  </si>
  <si>
    <t>ITC_2.4</t>
  </si>
  <si>
    <t>Đăng ký không chỉ định role → tự động gán PATIENT</t>
  </si>
  <si>
    <t>Default role logic trong AuthService</t>
  </si>
  <si>
    <t>ITC_2.5</t>
  </si>
  <si>
    <t>Đăng ký với role không hợp lệ → tự động gán PATIENT</t>
  </si>
  <si>
    <t>Defensive programming — không ném exception</t>
  </si>
  <si>
    <t>ITC_2.6</t>
  </si>
  <si>
    <t>Đăng ký với email SQL Injection / XSS (BVA biên ngoài)</t>
  </si>
  <si>
    <t>Security BVA — Bean Validation + JPA parameterized query</t>
  </si>
  <si>
    <t>1. POST /api/auth/register.
 2. Email, username, password, role="PATIENT". 
3. Gửi request.</t>
  </si>
  <si>
    <t>1. POST /api/auth/register với email đã tồn tại. 
2. Gửi request.</t>
  </si>
  <si>
    <t>1. POST /api/auth/register với username đã tồn tại. 
2. Gửi request.</t>
  </si>
  <si>
    <t>1. POST /api/auth/register. 
2. Không truyền role. 
3. Gửi request.</t>
  </si>
  <si>
    <t>1. POST /api/auth/register với role="SUPERUSER". 
2. Gửi request.</t>
  </si>
  <si>
    <t>1. POST /api/auth/register.
 2. Email = "' OR 1=1--" hoặc "&lt;script&gt;". \
3. Gửi request.</t>
  </si>
  <si>
    <t>1. HTTP 400 Bad Request. 
2. Hệ thống từ chối input độc hại.
 3. Không có lỗi SQL/XSS.</t>
  </si>
  <si>
    <t>1. HTTP 201 Created. 
2. Role = "PATIENT" (không crash).</t>
  </si>
  <si>
    <t>1. HTTP 201 Created.
 2. Role mặc định = "PATIENT".</t>
  </si>
  <si>
    <t>1. HTTP 400 Bad Request. 
2. "Username đã được sử dụng".</t>
  </si>
  <si>
    <t>1. HTTP 400 Bad Request.
 2. "Email đã được sử dụng".</t>
  </si>
  <si>
    <t>1. HTTP 201 Created.
 2. Tài khoản lưu vào DB.
 3. Password mã hóa BCrypt.</t>
  </si>
  <si>
    <t>Function 3: accessControl</t>
  </si>
  <si>
    <t>Truy cập API không có Token → bị chặn</t>
  </si>
  <si>
    <t>1. GET /api/patient/profile. 2. Không truyền header Authorization. 3. Gửi request.</t>
  </si>
  <si>
    <t>1. HTTP 403 Forbidden. 2. Không trả về dữ liệu.</t>
  </si>
  <si>
    <t>Spring Security filter chain hoạt động đúng</t>
  </si>
  <si>
    <t>Token bác sĩ truy cập API bệnh nhân → bị chặn</t>
  </si>
  <si>
    <t>1. Đăng nhập DOCTOR lấy token. 2. GET /api/patient/profile với token đó.</t>
  </si>
  <si>
    <t>1. HTTP 403 Forbidden. 2. Hệ thống từ chối do sai role.</t>
  </si>
  <si>
    <t>Token DOCTOR hợp lệ.</t>
  </si>
  <si>
    <t>@PreAuthorize annotation kiểm tra role</t>
  </si>
  <si>
    <t>Gọi Health Check sai phương thức HTTP (POST)</t>
  </si>
  <si>
    <t>1. POST /api/public/health (sai method). 2. Gửi request.</t>
  </si>
  <si>
    <t>1. HTTP 405 Method Not Allowed.</t>
  </si>
  <si>
    <t>Spring MVC method binding</t>
  </si>
  <si>
    <t>Function 4: healthCheck &amp; authSession &amp; contextLoads</t>
  </si>
  <si>
    <t>Health Check endpoint hoạt động đúng</t>
  </si>
  <si>
    <t>1. GET /api/public/health. 2. Không cần token.</t>
  </si>
  <si>
    <t>1. HTTP 200 OK. 2. Xác nhận server đang chạy.</t>
  </si>
  <si>
    <t>Server đang chạy.</t>
  </si>
  <si>
    <t>Dùng để xác minh server sẵn sàng trước khi chạy test</t>
  </si>
  <si>
    <t>Khởi tạo đồng thời 3 vai trò lấy Token</t>
  </si>
  <si>
    <t>1. Login PATIENT. 2. Login DOCTOR. 3. Login ADMIN. 4. Lưu 3 token vào env Postman.</t>
  </si>
  <si>
    <t>1. Cả 3 trả về 200 OK. 2. 3 token lưu thành công.</t>
  </si>
  <si>
    <t>3 tài khoản tồn tại trong DB.</t>
  </si>
  <si>
    <t>Newman Data-Driven — chạy tự động qua CI/CD pipeline</t>
  </si>
  <si>
    <t>Spring Boot Context khởi tạo thành công (JUnit)</t>
  </si>
  <si>
    <t>1. Chạy mvn test. 2. JUnit thực thi BackendApplicationTests.</t>
  </si>
  <si>
    <t>1. Test PASSED. 2. Không có exception khi load context.</t>
  </si>
  <si>
    <t>DB kết nối được.</t>
  </si>
  <si>
    <t>Chạy tự động trong GitHub Actions CI job</t>
  </si>
  <si>
    <t>Kiểm tra quản lý hồ sơ bệnh nhân, hồ sơ bác sĩ và phân quyền xem/chỉnh sửa. Admin quản lý toàn bộ tài khoản người dùng trong hệ thống.</t>
  </si>
  <si>
    <t>Function 7: getPatientProfile / updatePatientProfile</t>
  </si>
  <si>
    <t>Bệnh nhân xem hồ sơ cá nhân thành công</t>
  </si>
  <si>
    <t>1. Đăng nhập lấy token PATIENT. 2. GET /api/patient/profile với token. 3. Gửi request.</t>
  </si>
  <si>
    <t>1. HTTP 200 OK. 2. Trả về họ tên, email, SĐT, địa chỉ của bệnh nhân đang đăng nhập.</t>
  </si>
  <si>
    <t>Token PATIENT hợp lệ đang trong session.</t>
  </si>
  <si>
    <t>Kiểm tra dữ liệu trả về khớp với DB</t>
  </si>
  <si>
    <t>Xem hồ sơ bệnh nhân không có Token → bị chặn</t>
  </si>
  <si>
    <t>1. HTTP 403 Forbidden. 2. Không trả về dữ liệu cá nhân.</t>
  </si>
  <si>
    <t>Spring Security filter chặn đúng</t>
  </si>
  <si>
    <t>ITC_7.4</t>
  </si>
  <si>
    <t>Dùng Token DOCTOR xem API hồ sơ bệnh nhân → bị chặn</t>
  </si>
  <si>
    <t>1. Đăng nhập DOCTOR lấy token. 2. GET /api/patient/profile với token bác sĩ. 3. Gửi request.</t>
  </si>
  <si>
    <t>1. HTTP 403 Forbidden. 2. Role không phù hợp, truy cập bị từ chối.</t>
  </si>
  <si>
    <t>Token DOCTOR hợp lệ đang trong session.</t>
  </si>
  <si>
    <t>@PreAuthorize("hasRole('PATIENT')") hoạt động đúng</t>
  </si>
  <si>
    <t>Bệnh nhân xem danh sách bác sĩ công khai</t>
  </si>
  <si>
    <t>1. Đăng nhập lấy token PATIENT. 2. GET /api/patient/doctors. 3. Gửi request.</t>
  </si>
  <si>
    <t>1. HTTP 200 OK. 2. Trả về danh sách bác sĩ đang ACTIVE. 3. Có thể lọc theo chuyên khoa/tên.</t>
  </si>
  <si>
    <t>Token PATIENT hợp lệ. Có ít nhất 1 bác sĩ ACTIVE trong DB.</t>
  </si>
  <si>
    <t>Seed data đảm bảo có sẵn bác sĩ trong DB test</t>
  </si>
  <si>
    <t>Function 8:</t>
  </si>
  <si>
    <t>listDoctors / getDoctorById (Patient xem bác sĩ)</t>
  </si>
  <si>
    <t>Bệnh nhân xem chi tiết bác sĩ theo ID hợp lệ</t>
  </si>
  <si>
    <t>1. Token PATIENT. 2. GET /api/patient/doctors/{id} với ID hợp lệ. 3. Gửi request.</t>
  </si>
  <si>
    <t>1. HTTP 200 OK. 2. Trả về đầy đủ thông tin: tên, chuyên khoa, kinh nghiệm, điểm đánh giá.</t>
  </si>
  <si>
    <t>Token PATIENT hợp lệ. Bác sĩ tồn tại trong DB.</t>
  </si>
  <si>
    <t>ID bác sĩ lấy từ kết quả ITC_8.1</t>
  </si>
  <si>
    <t>Tìm bác sĩ với ID không tồn tại → 404</t>
  </si>
  <si>
    <t>1. Token PATIENT. 2. GET /api/patient/doctors/99999. 3. Gửi request.</t>
  </si>
  <si>
    <t>1. HTTP 404 Not Found. 2. Thông báo "Bác sĩ không tồn tại".</t>
  </si>
  <si>
    <t>Token PATIENT hợp lệ.</t>
  </si>
  <si>
    <t>GlobalExceptionHandler trả về message đúng</t>
  </si>
  <si>
    <t>Function 9</t>
  </si>
  <si>
    <t>getDoctorProfile / updateDoctorProfile (Bác sĩ quản lý hồ sơ)</t>
  </si>
  <si>
    <t>Bác sĩ xem hồ sơ cá nhân của mình</t>
  </si>
  <si>
    <t>1. Đăng nhập lấy token DOCTOR. 2. GET /api/doctor/profile với token. 3. Gửi request.</t>
  </si>
  <si>
    <t>1. HTTP 200 OK. 2. Trả về thông tin chuyên khoa, kinh nghiệm, trạng thái ACTIVE.</t>
  </si>
  <si>
    <t>Dữ liệu trả về khớp với DB bác sĩ đang đăng nhập</t>
  </si>
  <si>
    <t>Bác sĩ cập nhật thông tin chuyên khoa / lịch làm việc</t>
  </si>
  <si>
    <t>1. Token DOCTOR. 2. PUT /api/doctor/profile. 3. Body: specialization, experience mới. 4. Gửi request.</t>
  </si>
  <si>
    <t>1. HTTP 200 OK. 2. Dữ liệu mới được lưu. 3. Response phản ánh thông tin đã cập nhật.</t>
  </si>
  <si>
    <t>Kiểm tra DB sau update để xác nhận</t>
  </si>
  <si>
    <t>Dùng Token PATIENT xem API hồ sơ bác sĩ → bị chặn</t>
  </si>
  <si>
    <t>1. Token PATIENT. 2. GET /api/doctor/profile. 3. Gửi request.</t>
  </si>
  <si>
    <t>1. HTTP 403 Forbidden. 2. Role không phù hợp.</t>
  </si>
  <si>
    <t>@PreAuthorize("hasRole('DOCTOR')") hoạt động đúng</t>
  </si>
  <si>
    <t>Admin — Doctor Management</t>
  </si>
  <si>
    <t>Function 10</t>
  </si>
  <si>
    <t>Admin xem toàn bộ danh sách bác sĩ</t>
  </si>
  <si>
    <t>1. Token ADMIN. 2. GET /api/admin/doctors. 3. Gửi request.</t>
  </si>
  <si>
    <t>1. HTTP 200 OK. 2. Danh sách tất cả bác sĩ (cả ACTIVE lẫn INACTIVE).</t>
  </si>
  <si>
    <t>Token ADMIN hợp lệ.</t>
  </si>
  <si>
    <t>Admin thấy toàn bộ, khác Patient chỉ thấy ACTIVE</t>
  </si>
  <si>
    <t>Admin xem chi tiết bác sĩ theo ID</t>
  </si>
  <si>
    <t>1. Token ADMIN. 2. GET /api/admin/doctors/{id}. 3. Gửi request.</t>
  </si>
  <si>
    <t>1. HTTP 200 OK. 2. Đầy đủ thông tin bác sĩ.</t>
  </si>
  <si>
    <t>Token ADMIN hợp lệ. Bác sĩ tồn tại.</t>
  </si>
  <si>
    <t>So sánh kết quả với ITC_8.2</t>
  </si>
  <si>
    <t>Admin tìm kiếm bác sĩ theo tên/chuyên khoa</t>
  </si>
  <si>
    <t>1. Token ADMIN. 2. GET /api/admin/doctors?name=Nguyen. 3. Gửi request.</t>
  </si>
  <si>
    <t>1. HTTP 200 OK. 2. Danh sách bác sĩ có tên chứa "Nguyen".</t>
  </si>
  <si>
    <t>Search filter dùng LIKE query JPA</t>
  </si>
  <si>
    <t>ITC_10.4</t>
  </si>
  <si>
    <t>Admin tạo bác sĩ thiếu trường bắt buộc → 400</t>
  </si>
  <si>
    <t>1. Token ADMIN. 2. POST /api/admin/doctors. 3. Body thiếu trường specialization. 4. Gửi request.</t>
  </si>
  <si>
    <t>1. HTTP 400 Bad Request. 2. Validation message cho trường bị thiếu.</t>
  </si>
  <si>
    <t>@Valid + MethodArgumentNotValidException</t>
  </si>
  <si>
    <t>ITC_10.5</t>
  </si>
  <si>
    <t>Admin tìm bác sĩ không tồn tại → 404</t>
  </si>
  <si>
    <t>1. Token ADMIN. 2. GET /api/admin/doctors/99999. 3. Gửi request.</t>
  </si>
  <si>
    <t>1. HTTP 404 Not Found.</t>
  </si>
  <si>
    <t>ResourceNotFoundException được xử lý đúng</t>
  </si>
  <si>
    <t>Admin — Patient Management</t>
  </si>
  <si>
    <t>Function 11</t>
  </si>
  <si>
    <t>Admin xem toàn bộ danh sách bệnh nhân</t>
  </si>
  <si>
    <t>1. Token ADMIN. 2. GET /api/admin/patients. 3. Gửi request.</t>
  </si>
  <si>
    <t>1. HTTP 200 OK. 2. Danh sách tất cả bệnh nhân trong hệ thống.</t>
  </si>
  <si>
    <t>Token ADMIN hợp lệ. Có ít nhất 1 bệnh nhân trong DB.</t>
  </si>
  <si>
    <t>Dữ liệu seed từ DataInitializer</t>
  </si>
  <si>
    <t>Admin xem chi tiết hồ sơ bệnh nhân</t>
  </si>
  <si>
    <t>1. Token ADMIN. 2. GET /api/admin/patients/{id}. 3. Gửi request.</t>
  </si>
  <si>
    <t>1. HTTP 200 OK. 2. Đầy đủ thông tin bệnh nhân.</t>
  </si>
  <si>
    <t>Token ADMIN hợp lệ. Bệnh nhân tồn tại.</t>
  </si>
  <si>
    <t>ID lấy từ kết quả ITC_11.1</t>
  </si>
  <si>
    <t>Admin xem bệnh nhân không tồn tại → 404</t>
  </si>
  <si>
    <t>1. Token ADMIN. 2. GET /api/admin/patients/99999. 3. Gửi request.</t>
  </si>
  <si>
    <t>1. HTTP 404 Not Found. 2. Thông báo "Bệnh nhân không tồn tại".</t>
  </si>
  <si>
    <t>GlobalExceptionHandler phản hồi đúng</t>
  </si>
  <si>
    <t>Admin — User Account Management</t>
  </si>
  <si>
    <t>Function 12</t>
  </si>
  <si>
    <t>Admin xem danh sách tài khoản người dùng toàn hệ thống</t>
  </si>
  <si>
    <t>1. Token ADMIN. 2. GET /api/admin/users. 3. Gửi request.</t>
  </si>
  <si>
    <t>1. HTTP 200 OK. 2. Danh sách tất cả tài khoản (PATIENT, DOCTOR, ADMIN).</t>
  </si>
  <si>
    <t>Admin-only endpoint</t>
  </si>
  <si>
    <t>Admin tạo tài khoản với email sai định dạng → 400</t>
  </si>
  <si>
    <t>1. Token ADMIN. 2. POST /api/admin/users. 3. Body: email = "notanemail". 4. Gửi request.</t>
  </si>
  <si>
    <t>1. HTTP 400 Bad Request. 2. Validation message cho email sai định dạng.</t>
  </si>
  <si>
    <t>@Email constraint hoạt động đúng</t>
  </si>
  <si>
    <t>Admin tìm tài khoản không tồn tại → 404</t>
  </si>
  <si>
    <t>1. Token ADMIN. 2. GET /api/admin/users/99999. 3. Gửi request.</t>
  </si>
  <si>
    <t>Consistent 404 handling toàn hệ thống</t>
  </si>
  <si>
    <t>Appointment &amp; Booking Management</t>
  </si>
  <si>
    <t>Kiểm tra luồng đặt/hủy/xác nhận lịch khám, thanh toán qua ví điện tử, quản lý thành viên gia đình và toa thuốc điều trị.</t>
  </si>
  <si>
    <t>Function 13 getAvailableSlots</t>
  </si>
  <si>
    <t>ITC_13.1</t>
  </si>
  <si>
    <t>Trả về toàn bộ 17 khung giờ khi bác sĩ chưa có lịch hẹn nào</t>
  </si>
  <si>
    <t>1. Token PATIENT. 2. GET /api/patient/appointments/slots?doctorId={id}&amp;date={today}. 3. Gửi request.</t>
  </si>
  <si>
    <t>1. HTTP 200 OK. 2. Trả về đúng 17 khung giờ (08:00–17:00, mốc 30 phút).</t>
  </si>
  <si>
    <t>Bác sĩ tồn tại, chưa có lịch hẹn nào trong ngày.</t>
  </si>
  <si>
    <t>Kiểm tra đúng 17 slot chuẩn theo nghiệp vụ</t>
  </si>
  <si>
    <t>ITC_13.2</t>
  </si>
  <si>
    <t>Loại bỏ khung giờ có trạng thái PENDING khỏi danh sách trống</t>
  </si>
  <si>
    <t>1. Tạo sẵn 1 lịch hẹn PENDING lúc 08:00. 2. GET slots cùng ngày bác sĩ đó.</t>
  </si>
  <si>
    <t>1. HTTP 200 OK. 2. Slot 08:00 không xuất hiện trong danh sách.</t>
  </si>
  <si>
    <t>Có 1 lịch hẹn PENDING tồn tại trong DB.</t>
  </si>
  <si>
    <t>Logic lọc đúng trạng thái PENDING</t>
  </si>
  <si>
    <t>ITC_13.3</t>
  </si>
  <si>
    <t>Loại bỏ CONFIRMED, giữ lại slot đã CANCELLED</t>
  </si>
  <si>
    <t>1. Tạo 1 lịch CONFIRMED lúc 09:00 và 1 lịch CANCELLED lúc 10:00. 2. GET slots.</t>
  </si>
  <si>
    <t>1. Slot 09:00 bị loại. 2. Slot 10:00 vẫn xuất hiện (CANCELLED = trống lại).</t>
  </si>
  <si>
    <t>Có lịch CONFIRMED và CANCELLED trong DB.</t>
  </si>
  <si>
    <t>CANCELLED slot được tái sử dụng — đúng nghiệp vụ</t>
  </si>
  <si>
    <t>Function 14  createAppointment</t>
  </si>
  <si>
    <t>ITC_14.1</t>
  </si>
  <si>
    <t>Đặt lịch khám thành công — thanh toán Tiền mặt</t>
  </si>
  <si>
    <t>1. Token PATIENT. 2. POST /api/patient/appointments. 3. Body: doctorId, date (tương lai), time=08:00, paymentMethod=CASH.</t>
  </si>
  <si>
    <t>1. HTTP 201 Created. 2. Lịch hẹn lưu DB với status=PENDING. 3. PaymentMethod=CASH.</t>
  </si>
  <si>
    <t>Slot 08:00 còn trống. Bác sĩ ACTIVE.</t>
  </si>
  <si>
    <t>Happy path — luồng chính của hệ thống</t>
  </si>
  <si>
    <t>ITC_14.2</t>
  </si>
  <si>
    <t>Đặt lịch khám thành công — thanh toán qua Ví điện tử</t>
  </si>
  <si>
    <t>1. Token PATIENT. 2. POST /api/patient/appointments. 3. paymentMethod=WALLET.</t>
  </si>
  <si>
    <t>1. HTTP 201 Created. 2. Số dư ví bị trừ. 3. Giao dịch được ghi vào lịch sử ví.</t>
  </si>
  <si>
    <t>Số dư ví đủ. Slot còn trống.</t>
  </si>
  <si>
    <t>Tích hợp AppointmentService + WalletService</t>
  </si>
  <si>
    <t>ITC_14.3</t>
  </si>
  <si>
    <t>Đặt lịch với bác sĩ không tồn tại → 404</t>
  </si>
  <si>
    <t>1. Token PATIENT. 2. POST /api/patient/appointments với doctorId=99999.</t>
  </si>
  <si>
    <t>1. HTTP 404 Not Found. 2. "Bác sĩ không tồn tại".</t>
  </si>
  <si>
    <t>ResourceNotFoundException xử lý đúng</t>
  </si>
  <si>
    <t>ITC_14.4</t>
  </si>
  <si>
    <t>Đặt lịch với bác sĩ đang INACTIVE → bị từ chối</t>
  </si>
  <si>
    <t>1. Token PATIENT. 2. POST với doctorId của bác sĩ trạng thái INACTIVE.</t>
  </si>
  <si>
    <t>1. HTTP 400 Bad Request. 2. "Bác sĩ không còn hoạt động".</t>
  </si>
  <si>
    <t>Có bác sĩ INACTIVE trong DB.</t>
  </si>
  <si>
    <t>Kiểm tra trạng thái bác sĩ trước khi đặt</t>
  </si>
  <si>
    <t>ITC_14.5</t>
  </si>
  <si>
    <t>Đặt lịch vào slot đã có người đặt → bị từ chối</t>
  </si>
  <si>
    <t>1. Token PATIENT. 2. POST với time=08:00 đã có lịch PENDING.</t>
  </si>
  <si>
    <t>1. HTTP 400 Bad Request. 2. "Khung giờ đã được đặt".</t>
  </si>
  <si>
    <t>Slot 08:00 đang có lịch PENDING hoặc CONFIRMED.</t>
  </si>
  <si>
    <t>Ngăn trùng lịch — logic cốt lõi</t>
  </si>
  <si>
    <t>ITC_14.6</t>
  </si>
  <si>
    <t>Đặt lịch vào ngày quá khứ → bị từ chối</t>
  </si>
  <si>
    <t>1. Token PATIENT. 2. POST với date = ngày hôm qua.</t>
  </si>
  <si>
    <t>1. HTTP 400 Bad Request. 2. "Không thể đặt lịch vào ngày quá khứ".</t>
  </si>
  <si>
    <t>Validation ngày hợp lệ</t>
  </si>
  <si>
    <t>ITC_14.7</t>
  </si>
  <si>
    <t>Đặt lịch thiếu doctorId → 400</t>
  </si>
  <si>
    <t>1. Token PATIENT. 2. POST không có trường doctorId.</t>
  </si>
  <si>
    <t>1. HTTP 400 Bad Request. 2. Validation message.</t>
  </si>
  <si>
    <t>@NotNull constraint trên DTO</t>
  </si>
  <si>
    <t>ITC_14.8</t>
  </si>
  <si>
    <t>Đặt lịch sai định dạng thời gian → 400</t>
  </si>
  <si>
    <t>1. Token PATIENT. 2. POST với time="25:99".</t>
  </si>
  <si>
    <t>1. HTTP 400 Bad Request. 2. "Định dạng thời gian không hợp lệ".</t>
  </si>
  <si>
    <t>BVA biên ngoài — format time</t>
  </si>
  <si>
    <t>ITC_14.9</t>
  </si>
  <si>
    <t>Đặt lịch không có Token → 403</t>
  </si>
  <si>
    <t>1. POST /api/patient/appointments không có Authorization.</t>
  </si>
  <si>
    <t>1. HTTP 403 Forbidden.</t>
  </si>
  <si>
    <t>Spring Security filter</t>
  </si>
  <si>
    <t>Function 15: cancelAppointment</t>
  </si>
  <si>
    <t>ITC_15.1</t>
  </si>
  <si>
    <t>Hủy lịch hẹn PENDING — thanh toán tiền mặt (không hoàn tiền)</t>
  </si>
  <si>
    <t>1. Token PATIENT. 2. DELETE /api/patient/appointments/{id} — lịch PENDING CASH.</t>
  </si>
  <si>
    <t>1. HTTP 200 OK. 2. Status chuyển sang CANCELLED. 3. Không có giao dịch hoàn tiền.</t>
  </si>
  <si>
    <t>Lịch hẹn PENDING tồn tại, thuộc bệnh nhân đang đăng nhập.</t>
  </si>
  <si>
    <t>Tiền mặt không hoàn — đúng nghiệp vụ</t>
  </si>
  <si>
    <t>ITC_15.2</t>
  </si>
  <si>
    <t>Hủy lịch hẹn PENDING — đã thanh toán ví → hoàn tiền tự động</t>
  </si>
  <si>
    <t>1. Token PATIENT. 2. DELETE lịch PENDING đã thanh toán WALLET.</t>
  </si>
  <si>
    <t>1. HTTP 200 OK. 2. Status = CANCELLED. 3. Số dư ví được hoàn lại đúng số tiền.</t>
  </si>
  <si>
    <t>Lịch hẹn PENDING WALLET tồn tại.</t>
  </si>
  <si>
    <t>Tích hợp AppointmentService + WalletService refund</t>
  </si>
  <si>
    <t>ITC_15.3</t>
  </si>
  <si>
    <t>Hủy lịch của bệnh nhân khác → bị từ chối</t>
  </si>
  <si>
    <t>1. Token PATIENT_A. 2. DELETE lịch hẹn thuộc PATIENT_B.</t>
  </si>
  <si>
    <t>1. HTTP 403 Forbidden. 2. "Bạn không có quyền hủy lịch này".</t>
  </si>
  <si>
    <t>Lịch hẹn thuộc PATIENT_B tồn tại.</t>
  </si>
  <si>
    <t>Authorization ở service layer</t>
  </si>
  <si>
    <t>ITC_15.4</t>
  </si>
  <si>
    <t>Hủy lịch hẹn đã COMPLETED → bị từ chối</t>
  </si>
  <si>
    <t>1. Token PATIENT. 2. DELETE lịch COMPLETED.</t>
  </si>
  <si>
    <t>1. HTTP 400 Bad Request. 2. "Không thể hủy lịch đã hoàn thành".</t>
  </si>
  <si>
    <t>Lịch hẹn COMPLETED tồn tại.</t>
  </si>
  <si>
    <t>State machine logic</t>
  </si>
  <si>
    <t>ITC_15.5</t>
  </si>
  <si>
    <t>Hủy lịch hẹn đã CANCELLED → bị từ chối</t>
  </si>
  <si>
    <t>1. Token PATIENT. 2. DELETE lịch đã CANCELLED trước đó.</t>
  </si>
  <si>
    <t>1. HTTP 400 Bad Request. 2. "Lịch hẹn đã được hủy rồi".</t>
  </si>
  <si>
    <t>Lịch hẹn CANCELLED tồn tại.</t>
  </si>
  <si>
    <t>Ngăn double-cancel</t>
  </si>
  <si>
    <t>Function 16: confirmAppointment</t>
  </si>
  <si>
    <t>ITC_16.1</t>
  </si>
  <si>
    <t>Bác sĩ xác nhận lịch hẹn PENDING → CONFIRMED</t>
  </si>
  <si>
    <t>1. Token DOCTOR. 2. PUT /api/doctor/appointments/{id}/confirm.</t>
  </si>
  <si>
    <t>1. HTTP 200 OK. 2. Status = CONFIRMED.</t>
  </si>
  <si>
    <t>Lịch hẹn PENDING thuộc bác sĩ đang đăng nhập.</t>
  </si>
  <si>
    <t>Happy path confirm flow</t>
  </si>
  <si>
    <t>ITC_16.2</t>
  </si>
  <si>
    <t>Bác sĩ xác nhận lịch của bác sĩ khác → bị từ chối</t>
  </si>
  <si>
    <t>1. Token DOCTOR_A. 2. PUT confirm lịch thuộc DOCTOR_B.</t>
  </si>
  <si>
    <t>Lịch hẹn thuộc DOCTOR_B.</t>
  </si>
  <si>
    <t>Cross-doctor authorization check</t>
  </si>
  <si>
    <t>ITC_16.3</t>
  </si>
  <si>
    <t>Xác nhận lịch hẹn không ở trạng thái PENDING → bị từ chối</t>
  </si>
  <si>
    <t>1. Token DOCTOR. 2. PUT confirm lịch đã CONFIRMED.</t>
  </si>
  <si>
    <t>1. HTTP 400 Bad Request. 2. "Chỉ xác nhận được lịch đang PENDING".</t>
  </si>
  <si>
    <t>Lịch hẹn CONFIRMED tồn tại.</t>
  </si>
  <si>
    <t>State machine — chỉ PENDING mới confirm được</t>
  </si>
  <si>
    <t>Function 17: listAppointments</t>
  </si>
  <si>
    <t>ITC_17.1</t>
  </si>
  <si>
    <t>Bệnh nhân xem lịch sử đặt lịch cá nhân</t>
  </si>
  <si>
    <t>1. Token PATIENT. 2. GET /api/patient/appointments.</t>
  </si>
  <si>
    <t>1. HTTP 200 OK. 2. Danh sách lịch hẹn của bệnh nhân đó (mọi trạng thái).</t>
  </si>
  <si>
    <t>Bệnh nhân chỉ thấy lịch của mình</t>
  </si>
  <si>
    <t>ITC_17.2</t>
  </si>
  <si>
    <t>Bác sĩ xem danh sách lịch hẹn của mình</t>
  </si>
  <si>
    <t>1. Token DOCTOR. 2. GET /api/doctor/appointments.</t>
  </si>
  <si>
    <t>1. HTTP 200 OK. 2. Danh sách lịch hẹn của bác sĩ đó.</t>
  </si>
  <si>
    <t>Doctor-scoped query</t>
  </si>
  <si>
    <t>ITC_17.3</t>
  </si>
  <si>
    <t>Admin xem toàn bộ ca khám hệ thống</t>
  </si>
  <si>
    <t>1. Token ADMIN. 2. GET /api/admin/appointments.</t>
  </si>
  <si>
    <t>1. HTTP 200 OK. 2. Tất cả lịch hẹn của mọi bệnh nhân và bác sĩ.</t>
  </si>
  <si>
    <t>Admin không bị lọc theo người dùng</t>
  </si>
  <si>
    <t>ITC_17.4</t>
  </si>
  <si>
    <t>Lọc danh sách lịch hẹn theo ngày cụ thể</t>
  </si>
  <si>
    <t>1. Token ADMIN. 2. GET /api/admin/appointments?date=2026-06-12.</t>
  </si>
  <si>
    <t>1. HTTP 200 OK. 2. Chỉ trả về lịch hẹn ngày 12/06/2026.</t>
  </si>
  <si>
    <t>Có lịch hẹn ngày đó trong DB.</t>
  </si>
  <si>
    <t>Date filter query JPA</t>
  </si>
  <si>
    <t>ITC_17.5</t>
  </si>
  <si>
    <t>Lấy toàn bộ lịch hẹn khi không truyền ngày (null date)</t>
  </si>
  <si>
    <t>1. Token ADMIN. 2. GET /api/admin/appointments (không có param date).</t>
  </si>
  <si>
    <t>1. HTTP 200 OK. 2. Toàn bộ lịch hẹn không lọc ngày.</t>
  </si>
  <si>
    <t>Null-safe date filter logic</t>
  </si>
  <si>
    <t>Function 18: createTreatment / listTreatments</t>
  </si>
  <si>
    <t>ITC_18.1</t>
  </si>
  <si>
    <t>Bác sĩ tạo bệnh án / kê đơn thuốc thành công</t>
  </si>
  <si>
    <t>1. Token DOCTOR. 2. POST /api/doctor/treatments. 3. Body: appointmentId, diagnosis, prescription.</t>
  </si>
  <si>
    <t>1. HTTP 201 Created. 2. Bệnh án lưu DB. 3. Liên kết với lịch hẹn đúng.</t>
  </si>
  <si>
    <t>Lịch hẹn CONFIRMED thuộc bác sĩ tồn tại.</t>
  </si>
  <si>
    <t>Happy path — tích hợp Doctor + Appointment</t>
  </si>
  <si>
    <t>ITC_18.2</t>
  </si>
  <si>
    <t>Tạo bệnh án thiếu thông tin bệnh nhân → 400</t>
  </si>
  <si>
    <t>1. Token DOCTOR. 2. POST /api/doctor/treatments thiếu patientId.</t>
  </si>
  <si>
    <t>@NotNull trên DTO field</t>
  </si>
  <si>
    <t>ITC_18.3</t>
  </si>
  <si>
    <t>Bác sĩ xem danh sách bệnh án đã tạo</t>
  </si>
  <si>
    <t>1. Token DOCTOR. 2. GET /api/doctor/treatments.</t>
  </si>
  <si>
    <t>1. HTTP 200 OK. 2. Danh sách bệnh án do bác sĩ đó tạo.</t>
  </si>
  <si>
    <t>Bác sĩ đã có ít nhất 1 bệnh án.</t>
  </si>
  <si>
    <t>ITC_18.4</t>
  </si>
  <si>
    <t>Bệnh nhân xem danh sách đơn thuốc cá nhân</t>
  </si>
  <si>
    <t>1. Token PATIENT. 2. GET /api/patient/treatments.</t>
  </si>
  <si>
    <t>1. HTTP 200 OK. 2. Danh sách bệnh án của bệnh nhân đó.</t>
  </si>
  <si>
    <t>Bệnh nhân đã có ít nhất 1 bệnh án.</t>
  </si>
  <si>
    <t>Patient-scoped query</t>
  </si>
  <si>
    <t>ITC_18.5</t>
  </si>
  <si>
    <t>Xem đơn thuốc không tồn tại → 404</t>
  </si>
  <si>
    <t>1. Token PATIENT. 2. GET /api/patient/treatments/99999.</t>
  </si>
  <si>
    <t>Consistent 404 handling</t>
  </si>
  <si>
    <t>Function 19: Family Member Management</t>
  </si>
  <si>
    <t>ITC_19.1</t>
  </si>
  <si>
    <t>Xem danh sách thành viên gia đình</t>
  </si>
  <si>
    <t>1. Token PATIENT. 2. GET /api/patient/family-members.</t>
  </si>
  <si>
    <t>1. HTTP 200 OK. 2. Danh sách người thân đã đăng ký.</t>
  </si>
  <si>
    <t>Patient-scoped list</t>
  </si>
  <si>
    <t>ITC_19.2</t>
  </si>
  <si>
    <t>Thêm người nhà thành công (BVA họ tên 1–50 ký tự)</t>
  </si>
  <si>
    <t>1. Token PATIENT. 2. POST /api/patient/family-members. 3. Body: fullName (25 ký tự - nom), phone (10 số - nom), relationship.</t>
  </si>
  <si>
    <t>1. HTTP 201 Created. 2. Thành viên được lưu DB.</t>
  </si>
  <si>
    <t>BVA nominal — họ tên và SĐT biên hợp lệ</t>
  </si>
  <si>
    <t>ITC_19.3</t>
  </si>
  <si>
    <t>Thêm người nhà thiếu tên → 400</t>
  </si>
  <si>
    <t>1. Token PATIENT. 2. POST body không có fullName.</t>
  </si>
  <si>
    <t>1. HTTP 400 Bad Request. 2. Validation message cho fullName.</t>
  </si>
  <si>
    <t>@NotBlank constraint</t>
  </si>
  <si>
    <t>ITC_19.4</t>
  </si>
  <si>
    <t>Xóa người nhà không tồn tại → 404</t>
  </si>
  <si>
    <t>1. Token PATIENT. 2. DELETE /api/patient/family-members/99999.</t>
  </si>
  <si>
    <t>ResourceNotFoundException</t>
  </si>
  <si>
    <t>Function 20: Wallet &amp; Payment</t>
  </si>
  <si>
    <t>ITC_20.1</t>
  </si>
  <si>
    <t>Bệnh nhân xem số dư ví hiện tại</t>
  </si>
  <si>
    <t>1. Token PATIENT. 2. GET /api/patient/wallet/balance.</t>
  </si>
  <si>
    <t>1. HTTP 200 OK. 2. Số dư ví chính xác.</t>
  </si>
  <si>
    <t>Balance khớp với DB</t>
  </si>
  <si>
    <t>ITC_20.2</t>
  </si>
  <si>
    <t>Bệnh nhân xem lịch sử giao dịch ví</t>
  </si>
  <si>
    <t>1. Token PATIENT. 2. GET /api/patient/wallet/transactions.</t>
  </si>
  <si>
    <t>1. HTTP 200 OK. 2. Danh sách giao dịch (nạp tiền, thanh toán, hoàn tiền).</t>
  </si>
  <si>
    <t>Có ít nhất 1 giao dịch trong DB.</t>
  </si>
  <si>
    <t>Audit trail ví điện tử</t>
  </si>
  <si>
    <t>ITC_20.3</t>
  </si>
  <si>
    <t>Nạp tiền vào ví thành công — BVA biên hợp lệ (≥ 10.000 VND)</t>
  </si>
  <si>
    <t>1. Token PATIENT. 2. POST /api/patient/wallet/deposit. 3. amount=10000 (BVA biên dưới).</t>
  </si>
  <si>
    <t>1. HTTP 201 Created. 2. Số dư tăng đúng 10.000 VND. 3. Giao dịch ghi lịch sử.</t>
  </si>
  <si>
    <t>BVA min boundary — biên hợp lệ</t>
  </si>
  <si>
    <t>ITC_20.4</t>
  </si>
  <si>
    <t>Nạp tiền dưới mức tối thiểu (&lt; 10.000 VND) → 400</t>
  </si>
  <si>
    <t>1. Token PATIENT. 2. POST /api/patient/wallet/deposit với amount=9999 (BVA biên ngoài).</t>
  </si>
  <si>
    <t>1. HTTP 400 Bad Request. 2. "Số tiền nạp tối thiểu là 10.000 VND".</t>
  </si>
  <si>
    <t>BVA biên ngoài dưới — nghiệp vụ từ chối</t>
  </si>
  <si>
    <t>ITC_20.5</t>
  </si>
  <si>
    <t>Thanh toán phí khám thành công — số dư đủ</t>
  </si>
  <si>
    <t>1. Số dư ví = 200.000. 2. Đặt lịch với paymentMethod=WALLET. 3. Kiểm tra số dư sau.</t>
  </si>
  <si>
    <t>1. HTTP 201 Created. 2. Số dư giảm đúng phí khám. 3. Giao dịch PAYMENT ghi lịch sử.</t>
  </si>
  <si>
    <t>Số dư ví ≥ phí khám.</t>
  </si>
  <si>
    <t>Atomic transaction — không mất tiền</t>
  </si>
  <si>
    <t>ITC_20.6</t>
  </si>
  <si>
    <t>Thanh toán phí khám thất bại — số dư không đủ</t>
  </si>
  <si>
    <t>1. Số dư ví = 0. 2. POST đặt lịch paymentMethod=WALLET.</t>
  </si>
  <si>
    <t>1. HTTP 400 Bad Request. 2. "Số dư ví không đủ". 3. Không tạo lịch hẹn.</t>
  </si>
  <si>
    <t>Số dư ví &lt; phí khám.</t>
  </si>
  <si>
    <t>Rollback — không tạo lịch nếu không đủ tiền</t>
  </si>
  <si>
    <t>Function 21: Loyalty Tier — BVA biên hạng thành viên</t>
  </si>
  <si>
    <t>ITC_21.1</t>
  </si>
  <si>
    <t>Điểm = 0 → giữ hạng BRONZE (BVA biên dưới)</t>
  </si>
  <si>
    <t>Mock điểm = 0. Gọi API xem hạng thành viên.</t>
  </si>
  <si>
    <t>Hạng = BRONZE.</t>
  </si>
  <si>
    <t>Tài khoản có điểm tích lũy = 0.</t>
  </si>
  <si>
    <t>BVA min = 0</t>
  </si>
  <si>
    <t>ITC_21.2</t>
  </si>
  <si>
    <t>Điểm = 999 → vẫn BRONZE (ngay dưới biên SILVER)</t>
  </si>
  <si>
    <t>Mock điểm = 999.</t>
  </si>
  <si>
    <t>Điểm tích lũy = 999.</t>
  </si>
  <si>
    <t>BVA max- của BRONZE</t>
  </si>
  <si>
    <t>ITC_21.3</t>
  </si>
  <si>
    <t>Điểm = 1000 → nâng hạng SILVER (BVA biên trên)</t>
  </si>
  <si>
    <t>Mock điểm = 1000.</t>
  </si>
  <si>
    <t>Hạng = SILVER.</t>
  </si>
  <si>
    <t>Điểm tích lũy = 1000.</t>
  </si>
  <si>
    <t>BVA min của SILVER</t>
  </si>
  <si>
    <t>ITC_21.4</t>
  </si>
  <si>
    <t>Điểm = 4999 → vẫn SILVER (ngay dưới biên GOLD)</t>
  </si>
  <si>
    <t>Mock điểm = 4999.</t>
  </si>
  <si>
    <t>Điểm tích lũy = 4999.</t>
  </si>
  <si>
    <t>BVA max- của SILVER</t>
  </si>
  <si>
    <t>ITC_21.5</t>
  </si>
  <si>
    <t>Điểm = 5000 → nâng hạng GOLD (BVA biên trên)</t>
  </si>
  <si>
    <t>Mock điểm = 5000.</t>
  </si>
  <si>
    <t>Hạng = GOLD.</t>
  </si>
  <si>
    <t>Điểm tích lũy = 5000.</t>
  </si>
  <si>
    <t>BVA min của GOLD</t>
  </si>
  <si>
    <t>ITC_21.6</t>
  </si>
  <si>
    <t>Điểm = 9999 → vẫn GOLD (ngay dưới biên PLATINUM)</t>
  </si>
  <si>
    <t>Mock điểm = 9999.</t>
  </si>
  <si>
    <t>Điểm tích lũy = 9999.</t>
  </si>
  <si>
    <t>BVA max- của GOLD</t>
  </si>
  <si>
    <t>ITC_21.7</t>
  </si>
  <si>
    <t>Điểm = 10000 → nâng hạng PLATINUM (BVA biên trên)</t>
  </si>
  <si>
    <t>Mock điểm = 10000.</t>
  </si>
  <si>
    <t>Hạng = PLATINUM.</t>
  </si>
  <si>
    <t>Điểm tích lũy = 10000.</t>
  </si>
  <si>
    <t>BVA max — hạng cao nhất</t>
  </si>
  <si>
    <t>Feedback &amp; Rating Management, AI Diagnosis, Notification &amp; E2E Testing</t>
  </si>
  <si>
    <t>Kiểm tra luồng đánh giá bác sĩ (BVA 24h), phản hồi của bác sĩ, ẩn/hiện nhận xét, AI chẩn đoán triệu chứng, thông báo hệ thống và kiểm thử End-to-End toàn luồng. Phát hiện 4 lỗi BVA logic backend nghiêm trọng.</t>
  </si>
  <si>
    <t>Function 22: createFeedback</t>
  </si>
  <si>
    <t>ITC_22.1</t>
  </si>
  <si>
    <t>Tạo phản hồi thành công cho lịch khám đã COMPLETED</t>
  </si>
  <si>
    <t>1. Token PATIENT. 2. POST /api/patient/feedbacks. 3. Body: appointmentId, rating=5, comment="Bác sĩ rất tận tâm".</t>
  </si>
  <si>
    <t>1. HTTP 201 Created. 2. Phản hồi lưu DB với status=PENDING.</t>
  </si>
  <si>
    <t>Lịch hẹn COMPLETED thuộc bệnh nhân đang đăng nhập.</t>
  </si>
  <si>
    <t>Happy path — lưu đúng rating và comment</t>
  </si>
  <si>
    <t>ITC_22.2</t>
  </si>
  <si>
    <t>Tạo phản hồi cho lịch khám chưa COMPLETED → bị từ chối</t>
  </si>
  <si>
    <t>1. Token PATIENT. 2. POST /api/patient/feedbacks với appointmentId của lịch PENDING.</t>
  </si>
  <si>
    <t>1. HTTP 400 Bad Request. 2. "Chỉ có thể đánh giá sau khi hoàn thành khám".</t>
  </si>
  <si>
    <t>Lịch hẹn PENDING tồn tại.</t>
  </si>
  <si>
    <t>Status guard — chỉ COMPLETED mới được đánh giá</t>
  </si>
  <si>
    <t>ITC_22.3</t>
  </si>
  <si>
    <t>Tạo phản hồi lần 2 cho cùng lịch khám → bị từ chối</t>
  </si>
  <si>
    <t>1. Token PATIENT. 2. POST /api/patient/feedbacks với appointmentId đã có feedback.</t>
  </si>
  <si>
    <t>1. HTTP 400 Bad Request. 2. "Bạn đã đánh giá lịch khám này rồi".</t>
  </si>
  <si>
    <t>Lịch hẹn COMPLETED đã có feedback trong DB.</t>
  </si>
  <si>
    <t>One-feedback-per-appointment constraint</t>
  </si>
  <si>
    <t>ITC_22.4</t>
  </si>
  <si>
    <t>Tạo phản hồi cho lịch khám của bệnh nhân khác → bị từ chối</t>
  </si>
  <si>
    <t>1. Token PATIENT_A. 2. POST với appointmentId thuộc PATIENT_B.</t>
  </si>
  <si>
    <t>1. HTTP 400 Bad Request. 2. "Lịch khám không thuộc về bạn".</t>
  </si>
  <si>
    <t>Lịch hẹn PATIENT_B tồn tại.</t>
  </si>
  <si>
    <t>Cross-patient authorization check</t>
  </si>
  <si>
    <t>ITC_22.5</t>
  </si>
  <si>
    <t>Đăng phản hồi thiếu rating → 400 (BVA biên ngoài)</t>
  </si>
  <si>
    <t>1. Token PATIENT. 2. POST body không có trường rating.</t>
  </si>
  <si>
    <t>1. HTTP 400 Bad Request. 2. Validation message cho rating.</t>
  </si>
  <si>
    <t>ITC_22.6</t>
  </si>
  <si>
    <t>Đăng phản hồi với rating ngoài biên [1–5] → 400</t>
  </si>
  <si>
    <t>1. Token PATIENT. 2. POST với rating=6 (BVA biên ngoài trên) hoặc rating=0.</t>
  </si>
  <si>
    <t>1. HTTP 400 Bad Request. 2. "Rating phải trong khoảng 1–5".</t>
  </si>
  <si>
    <t>BVA biên trên và biên dưới của rating</t>
  </si>
  <si>
    <t>Function 23: updateFeedback — BVA biên 24 giờ</t>
  </si>
  <si>
    <t>ITC_23.1</t>
  </si>
  <si>
    <t>Cập nhật phản hồi thành công (trong 24 giờ, chưa có reply bác sĩ)</t>
  </si>
  <si>
    <t>1. Token PATIENT. 2. PUT /api/patient/feedbacks/{id}. 3. Body: comment mới.</t>
  </si>
  <si>
    <t>1. HTTP 200 OK. 2. Comment được cập nhật trong DB.</t>
  </si>
  <si>
    <t>Feedback được tạo &lt; 24 giờ trước. Bác sĩ chưa phản hồi.</t>
  </si>
  <si>
    <t>Happy path update</t>
  </si>
  <si>
    <t>ITC_23.2</t>
  </si>
  <si>
    <t>Bệnh nhân khác sửa phản hồi → bị từ chối</t>
  </si>
  <si>
    <t>1. Token PATIENT_A. 2. PUT feedback thuộc PATIENT_B.</t>
  </si>
  <si>
    <t>Feedback thuộc PATIENT_B.</t>
  </si>
  <si>
    <t>Cross-patient authorization</t>
  </si>
  <si>
    <t>ITC_23.3</t>
  </si>
  <si>
    <t>Sửa phản hồi sau khi bác sĩ đã reply → bị từ chối</t>
  </si>
  <si>
    <t>1. Token PATIENT. 2. PUT feedback đã có doctorReply.</t>
  </si>
  <si>
    <t>1. HTTP 400 Bad Request. 2. "Không thể sửa sau khi bác sĩ đã phản hồi".</t>
  </si>
  <si>
    <t>Bác sĩ đã reply feedback đó.</t>
  </si>
  <si>
    <t>Lock after doctor reply</t>
  </si>
  <si>
    <t>ITC_23.4</t>
  </si>
  <si>
    <t>1. Mock createdAt = NOW - 23h59m59s. 2. PUT update feedback.</t>
  </si>
  <si>
    <t>1. HTTP 200 OK. 2. Cập nhật thành công.</t>
  </si>
  <si>
    <t>Feedback trong vòng 24 giờ.</t>
  </si>
  <si>
    <t>BVA biên trong — ngay trước giới hạn 24h</t>
  </si>
  <si>
    <t>ITC_23.5</t>
  </si>
  <si>
    <t>1. Mock createdAt = NOW - 24h00m00s. 2. PUT update feedback.</t>
  </si>
  <si>
    <t>1. HTTP 200 OK. 2. Hệ thống chấp nhận đúng biên 24h.</t>
  </si>
  <si>
    <t>Feedback đúng 24 giờ.</t>
  </si>
  <si>
    <t>BVA biên chính xác — boundary inclusive</t>
  </si>
  <si>
    <t>ITC_23.6</t>
  </si>
  <si>
    <t>1. Mock createdAt = NOW - 24h00m01s. 2. PUT update feedback.</t>
  </si>
  <si>
    <t>1. HTTP 400 Bad Request. 2. "Đã hết thời gian chỉnh sửa (24 giờ)".</t>
  </si>
  <si>
    <t>Feedback vượt 24 giờ.</t>
  </si>
  <si>
    <t>BVA biên ngoài — 1 giây sau deadline bị từ chối</t>
  </si>
  <si>
    <r>
      <t>BVA biên trong:</t>
    </r>
    <r>
      <rPr>
        <sz val="10"/>
        <color theme="1"/>
        <rFont val="Segoe UI"/>
        <family val="2"/>
      </rPr>
      <t> Sửa thành công ở 23h 59m 59s</t>
    </r>
  </si>
  <si>
    <r>
      <t>BVA biên:</t>
    </r>
    <r>
      <rPr>
        <sz val="10"/>
        <color theme="1"/>
        <rFont val="Segoe UI"/>
        <family val="2"/>
      </rPr>
      <t> Sửa thành công ở đúng 24h 00m 00s</t>
    </r>
  </si>
  <si>
    <r>
      <t>BVA biên ngoài:</t>
    </r>
    <r>
      <rPr>
        <sz val="10"/>
        <color theme="1"/>
        <rFont val="Segoe UI"/>
        <family val="2"/>
      </rPr>
      <t> Sửa thất bại ở 24h 00m 01s</t>
    </r>
  </si>
  <si>
    <t>Function 24: replyToFeedback</t>
  </si>
  <si>
    <t>ITC_25.1</t>
  </si>
  <si>
    <t>Điểm đánh giá trung bình = 0.0 khi chưa có nhận xét</t>
  </si>
  <si>
    <t>1. Token PATIENT. 2. GET /api/patient/doctors/{id} với bác sĩ không có feedback.</t>
  </si>
  <si>
    <t>1. HTTP 200 OK. 2. averageRating = 0.0.</t>
  </si>
  <si>
    <t>Bác sĩ tồn tại, chưa có feedback nào.</t>
  </si>
  <si>
    <t>Không crash khi chưa có dữ liệu</t>
  </si>
  <si>
    <t>ITC_25.2</t>
  </si>
  <si>
    <t>Điểm trung bình không tính nhận xét bị ẩn</t>
  </si>
  <si>
    <t>1. Admin ẩn 1 feedback rating=1. 2. GET average rating bác sĩ đó.</t>
  </si>
  <si>
    <t>1. Điểm trung bình không bao gồm rating=1 đã ẩn.</t>
  </si>
  <si>
    <t>Có ít nhất 1 feedback bị ẩn.</t>
  </si>
  <si>
    <t>Hidden feedback bị loại khỏi tính toán</t>
  </si>
  <si>
    <t>ITC_25.3</t>
  </si>
  <si>
    <t>Danh sách nhận xét trả về không chứa nhận xét đang ẩn</t>
  </si>
  <si>
    <t>1. Token PATIENT. 2. GET danh sách feedback của bác sĩ (public view).</t>
  </si>
  <si>
    <t>1. HTTP 200 OK. 2. Không có feedback bị ẩn trong kết quả.</t>
  </si>
  <si>
    <t>Có ít nhất 1 feedback ẩn trong DB.</t>
  </si>
  <si>
    <t>Bệnh nhân không nhìn thấy feedback ẩn</t>
  </si>
  <si>
    <t>Function 26: hideFeedback / unhideFeedback (Admin)</t>
  </si>
  <si>
    <t>ITC_26.1</t>
  </si>
  <si>
    <t>Admin ẩn nhận xét xấu / không phù hợp</t>
  </si>
  <si>
    <t>1. Token ADMIN. 2. PUT /api/admin/feedbacks/{id}/hide.</t>
  </si>
  <si>
    <t>1. HTTP 200 OK. 2. isHidden = true trong DB.</t>
  </si>
  <si>
    <t>Feedback tồn tại và đang hiển thị.</t>
  </si>
  <si>
    <t>Moderation tool cho Admin</t>
  </si>
  <si>
    <t>ITC_26.2</t>
  </si>
  <si>
    <t>Admin bỏ ẩn nhận xét</t>
  </si>
  <si>
    <t>1. Token ADMIN. 2. PUT /api/admin/feedbacks/{id}/unhide.</t>
  </si>
  <si>
    <t>1. HTTP 200 OK. 2. isHidden = false.</t>
  </si>
  <si>
    <t>Feedback đang bị ẩn.</t>
  </si>
  <si>
    <t>Reversible action</t>
  </si>
  <si>
    <t>Function 27: Admin Feedback Management</t>
  </si>
  <si>
    <t>ITC_27.1</t>
  </si>
  <si>
    <t>Admin xem toàn bộ nhận xét hệ thống</t>
  </si>
  <si>
    <t>1. Token ADMIN. 2. GET /api/admin/feedbacks.</t>
  </si>
  <si>
    <t>1. HTTP 200 OK. 2. Tất cả feedback kể cả đang ẩn.</t>
  </si>
  <si>
    <t>Admin thấy cả ẩn và hiển thị</t>
  </si>
  <si>
    <t>ITC_27.2</t>
  </si>
  <si>
    <t>Admin lọc nhận xét theo bác sĩ cụ thể</t>
  </si>
  <si>
    <t>1. Token ADMIN. 2. GET /api/admin/feedbacks?doctorId={id}.</t>
  </si>
  <si>
    <t>1. HTTP 200 OK. 2. Chỉ trả về feedback của bác sĩ đó.</t>
  </si>
  <si>
    <t>Bác sĩ có ít nhất 1 feedback.</t>
  </si>
  <si>
    <t>Filter query hoạt động đúng</t>
  </si>
  <si>
    <t>ITC_27.3</t>
  </si>
  <si>
    <t>Admin lấy toàn bộ khi không chỉ định trạng thái lọc</t>
  </si>
  <si>
    <t>1. Token ADMIN. 2. GET /api/admin/feedbacks?status= (rỗng).</t>
  </si>
  <si>
    <t>1. HTTP 200 OK. 2. Toàn bộ feedback không lọc.</t>
  </si>
  <si>
    <t>Null-safe status filter</t>
  </si>
  <si>
    <t>ITC_27.4</t>
  </si>
  <si>
    <t>Admin xem nhận xét không tồn tại → 404</t>
  </si>
  <si>
    <t>1. Token ADMIN. 2. GET /api/admin/feedbacks/99999.</t>
  </si>
  <si>
    <t>Function 28: Doctor Misc (Thuốc, Patients, Feedback)</t>
  </si>
  <si>
    <t>ITC_28.1</t>
  </si>
  <si>
    <t>Bác sĩ xem danh sách thuốc kê toa</t>
  </si>
  <si>
    <t>1. Token DOCTOR. 2. GET /api/doctor/medicines.</t>
  </si>
  <si>
    <t>1. HTTP 200 OK. 2. Danh sách thuốc trong hệ thống.</t>
  </si>
  <si>
    <t>Reference data cho kê toa</t>
  </si>
  <si>
    <t>ITC_28.2</t>
  </si>
  <si>
    <t>Bác sĩ xem nhận xét của bệnh nhân về mình</t>
  </si>
  <si>
    <t>1. Token DOCTOR. 2. GET /api/doctor/feedbacks.</t>
  </si>
  <si>
    <t>1. HTTP 200 OK. 2. Danh sách feedback gửi cho bác sĩ đó (không ẩn).</t>
  </si>
  <si>
    <t>Doctor chỉ thấy feedback của mình</t>
  </si>
  <si>
    <t>ITC_28.3</t>
  </si>
  <si>
    <t>Lọc nhận xét theo điểm đánh giá không hợp lệ → 400</t>
  </si>
  <si>
    <t>1. Token DOCTOR. 2. GET /api/doctor/feedbacks?rating=abc.</t>
  </si>
  <si>
    <t>1. HTTP 400 Bad Request.</t>
  </si>
  <si>
    <t>Type validation cho query param</t>
  </si>
  <si>
    <t>Function 29: AI Symptom Check</t>
  </si>
  <si>
    <t>ITC_29.1</t>
  </si>
  <si>
    <t>Gọi AI chẩn đoán triệu chứng thông thường</t>
  </si>
  <si>
    <t>1. Token PATIENT. 2. POST /api/patient/ai/diagnose. 3. Body: symptoms="Đau đầu, sốt nhẹ".</t>
  </si>
  <si>
    <t>1. HTTP 200 OK hoặc 503 nếu AI offline. 2. Trả về gợi ý chuyên khoa phù hợp.</t>
  </si>
  <si>
    <t>Token PATIENT hợp lệ. AI service khả dụng.</t>
  </si>
  <si>
    <t>503 chấp nhận được nếu AI offline — graceful fallback</t>
  </si>
  <si>
    <t>ITC_29.2</t>
  </si>
  <si>
    <t>Gửi triệu chứng rỗng lên AI → 400</t>
  </si>
  <si>
    <t>1. Token PATIENT. 2. POST /api/patient/ai/diagnose với symptoms="".</t>
  </si>
  <si>
    <t>1. HTTP 400 Bad Request. 2. "Vui lòng nhập triệu chứng".</t>
  </si>
  <si>
    <t>@NotBlank validation trước khi gọi AI</t>
  </si>
  <si>
    <t>Function 30: Notification</t>
  </si>
  <si>
    <t>ITC_30.1</t>
  </si>
  <si>
    <t>Xem toàn bộ thông báo của bệnh nhân</t>
  </si>
  <si>
    <t>1. Token PATIENT. 2. GET /api/patient/notifications.</t>
  </si>
  <si>
    <t>1. HTTP 200 OK. 2. Danh sách thông báo (đã đọc và chưa đọc).</t>
  </si>
  <si>
    <t>Bệnh nhân có ít nhất 1 thông báo.</t>
  </si>
  <si>
    <t>Patient-scoped notifications</t>
  </si>
  <si>
    <t>ITC_30.2</t>
  </si>
  <si>
    <t>Đếm số thông báo chưa đọc</t>
  </si>
  <si>
    <t>1. Token PATIENT. 2. GET /api/patient/notifications/unread-count.</t>
  </si>
  <si>
    <t>1. HTTP 200 OK. 2. Trả về số nguyên = số thông báo chưa đọc.</t>
  </si>
  <si>
    <t>Có ít nhất 1 thông báo chưa đọc.</t>
  </si>
  <si>
    <t>Badge count cho UI</t>
  </si>
  <si>
    <t>ITC_30.3</t>
  </si>
  <si>
    <t>Đánh dấu thông báo đã đọc</t>
  </si>
  <si>
    <t>1. Token PATIENT. 2. PUT /api/patient/notifications/{id}/read.</t>
  </si>
  <si>
    <t>1. HTTP 200 OK. 2. isRead = true trong DB.</t>
  </si>
  <si>
    <t>Thông báo tồn tại và đang unread.</t>
  </si>
  <si>
    <t>Read state được persist</t>
  </si>
  <si>
    <t>ITC_30.4</t>
  </si>
  <si>
    <t>Đọc thông báo không tồn tại → 404</t>
  </si>
  <si>
    <t>1. Token PATIENT. 2. PUT /api/patient/notifications/99999/read.</t>
  </si>
  <si>
    <t>Function 31: BVA Backend Logic Bugs</t>
  </si>
  <si>
    <t>ITC_31.1</t>
  </si>
  <si>
    <t>1. Token PATIENT. 2. POST đặt lịch với date=Hôm nay, time=08:00 (khi đồng hồ đang là 15:00).</t>
  </si>
  <si>
    <t>Đang trong ngày hôm nay, slot 08:00 còn trống.</t>
  </si>
  <si>
    <t>ITC_31.2</t>
  </si>
  <si>
    <t>1. Token PATIENT. 2. POST với time="08:15" (không có trong 17 slots quy định).</t>
  </si>
  <si>
    <t>Token PATIENT hợp lệ. Bác sĩ ACTIVE.</t>
  </si>
  <si>
    <t>ITC_31.3</t>
  </si>
  <si>
    <t>1. Token PATIENT (đã có mối quan hệ SELF). 2. PUT /api/patient/family-members/{id} với relationship=SELF.</t>
  </si>
  <si>
    <t>Bệnh nhân đã có 1 hồ sơ SELF trong DB.</t>
  </si>
  <si>
    <t>ITC_31.4</t>
  </si>
  <si>
    <t>1. Token DOCTOR. 2. PUT reply feedback cũ không có trường doctorRepliedAt.</t>
  </si>
  <si>
    <t>Feedback cũ không có doctorRepliedAt trong DB.</t>
  </si>
  <si>
    <r>
      <t>[BVA-APP-01]</t>
    </r>
    <r>
      <rPr>
        <sz val="10"/>
        <color theme="1"/>
        <rFont val="Segoe UI"/>
        <family val="2"/>
      </rPr>
      <t> Đặt lịch hôm nay với giờ đã qua trong ngày</t>
    </r>
  </si>
  <si>
    <r>
      <t>Mong đợi:</t>
    </r>
    <r>
      <rPr>
        <sz val="10"/>
        <color theme="1"/>
        <rFont val="Segoe UI"/>
        <family val="2"/>
      </rPr>
      <t> HTTP 400. "Không thể đặt khung giờ đã qua trong ngày hôm nay." </t>
    </r>
    <r>
      <rPr>
        <b/>
        <sz val="10"/>
        <color theme="1"/>
        <rFont val="Segoe UI"/>
        <family val="2"/>
      </rPr>
      <t>Thực tế:</t>
    </r>
    <r>
      <rPr>
        <sz val="10"/>
        <color theme="1"/>
        <rFont val="Segoe UI"/>
        <family val="2"/>
      </rPr>
      <t> HTTP 201 — Hệ thống cho phép đặt.</t>
    </r>
  </si>
  <si>
    <r>
      <t>⚠️ </t>
    </r>
    <r>
      <rPr>
        <b/>
        <sz val="10"/>
        <color theme="1"/>
        <rFont val="Segoe UI"/>
        <family val="2"/>
      </rPr>
      <t>Bug nghiêm trọng — AppointmentService thiếu check LocalTime.now(). Chờ member fix.</t>
    </r>
  </si>
  <si>
    <r>
      <t>[BVA-APP-02]</t>
    </r>
    <r>
      <rPr>
        <sz val="10"/>
        <color theme="1"/>
        <rFont val="Segoe UI"/>
        <family val="2"/>
      </rPr>
      <t> Đặt lịch với khung giờ tùy ý ngoài 17 slots chuẩn</t>
    </r>
  </si>
  <si>
    <r>
      <t>Mong đợi:</t>
    </r>
    <r>
      <rPr>
        <sz val="10"/>
        <color theme="1"/>
        <rFont val="Segoe UI"/>
        <family val="2"/>
      </rPr>
      <t> HTTP 400. "Khung giờ không hợp lệ." </t>
    </r>
    <r>
      <rPr>
        <b/>
        <sz val="10"/>
        <color theme="1"/>
        <rFont val="Segoe UI"/>
        <family val="2"/>
      </rPr>
      <t>Thực tế:</t>
    </r>
    <r>
      <rPr>
        <sz val="10"/>
        <color theme="1"/>
        <rFont val="Segoe UI"/>
        <family val="2"/>
      </rPr>
      <t> HTTP 201 — Lịch được tạo với giờ 08:15.</t>
    </r>
  </si>
  <si>
    <r>
      <t>⚠️ </t>
    </r>
    <r>
      <rPr>
        <b/>
        <sz val="10"/>
        <color theme="1"/>
        <rFont val="Segoe UI"/>
        <family val="2"/>
      </rPr>
      <t>Bug nghiêm trọng — Không validate slot trong danh sách 17 khung giờ chuẩn. Chờ member fix.</t>
    </r>
  </si>
  <si>
    <r>
      <t>[BVA-FAM-01]</t>
    </r>
    <r>
      <rPr>
        <sz val="10"/>
        <color theme="1"/>
        <rFont val="Segoe UI"/>
        <family val="2"/>
      </rPr>
      <t> Cập nhật thành viên gia đình với quan hệ SELF khi đã tồn tại</t>
    </r>
  </si>
  <si>
    <r>
      <t>Mong đợi:</t>
    </r>
    <r>
      <rPr>
        <sz val="10"/>
        <color theme="1"/>
        <rFont val="Segoe UI"/>
        <family val="2"/>
      </rPr>
      <t> HTTP 400. "Đã có hồ sơ chính (SELF)." </t>
    </r>
    <r>
      <rPr>
        <b/>
        <sz val="10"/>
        <color theme="1"/>
        <rFont val="Segoe UI"/>
        <family val="2"/>
      </rPr>
      <t>Thực tế:</t>
    </r>
    <r>
      <rPr>
        <sz val="10"/>
        <color theme="1"/>
        <rFont val="Segoe UI"/>
        <family val="2"/>
      </rPr>
      <t> HTTP 200 — Tạo ra 2 hồ sơ SELF.</t>
    </r>
  </si>
  <si>
    <r>
      <t>⚠️ </t>
    </r>
    <r>
      <rPr>
        <b/>
        <sz val="10"/>
        <color theme="1"/>
        <rFont val="Segoe UI"/>
        <family val="2"/>
      </rPr>
      <t>Bug dữ liệu — FamilyMemberService thiếu kiểm tra countMainAccountByPatientId. Chờ member fix.</t>
    </r>
  </si>
  <si>
    <r>
      <t>[BVA-FB-01]</t>
    </r>
    <r>
      <rPr>
        <sz val="10"/>
        <color theme="1"/>
        <rFont val="Segoe UI"/>
        <family val="2"/>
      </rPr>
      <t> Cập nhật reply bác sĩ khi doctorRepliedAt = null (NullPointer)</t>
    </r>
  </si>
  <si>
    <r>
      <t>Mong đợi:</t>
    </r>
    <r>
      <rPr>
        <sz val="10"/>
        <color theme="1"/>
        <rFont val="Segoe UI"/>
        <family val="2"/>
      </rPr>
      <t> HTTP 200 cập nhật thành công (với null-safety). </t>
    </r>
    <r>
      <rPr>
        <b/>
        <sz val="10"/>
        <color theme="1"/>
        <rFont val="Segoe UI"/>
        <family val="2"/>
      </rPr>
      <t>Thực tế:</t>
    </r>
    <r>
      <rPr>
        <sz val="10"/>
        <color theme="1"/>
        <rFont val="Segoe UI"/>
        <family val="2"/>
      </rPr>
      <t> HTTP 500 NullPointerException.</t>
    </r>
  </si>
  <si>
    <r>
      <t>⚠️ </t>
    </r>
    <r>
      <rPr>
        <b/>
        <sz val="10"/>
        <color theme="1"/>
        <rFont val="Segoe UI"/>
        <family val="2"/>
      </rPr>
      <t>Bug runtime — FeedbackService thiếu null check trước .plusHours(). Chờ member fix.</t>
    </r>
  </si>
  <si>
    <t>Function 32: E2E Testing (CodeceptJS + Playwright)</t>
  </si>
  <si>
    <t>ITC_32.1</t>
  </si>
  <si>
    <t>1. CodeceptJS chạy Playwright headless. 2. Bệnh nhân đăng nhập trên UI. 3. Đặt lịch khám. 4. Bác sĩ xác nhận. 5. Bác sĩ kê đơn thuốc. 6. Bệnh nhân gửi đánh giá. 7. Dọn dẹp dữ liệu test.</t>
  </si>
  <si>
    <t>1. Tất cả bước hoàn thành không lỗi. 2. Screenshot lưu khi có lỗi. 3. Kết quả ghi vào CI report.</t>
  </si>
  <si>
    <t>Server đang chạy trên môi trường Staging.</t>
  </si>
  <si>
    <t>Chạy tự động trên GitHub Actions CI — Chromium headless</t>
  </si>
  <si>
    <t>ITC_32.2</t>
  </si>
  <si>
    <t>1. Playwright mở trình duyệt chưa đăng nhập. 2. Truy cập trực tiếp /patient/dashboard. 3. Quan sát điều hướng.</t>
  </si>
  <si>
    <t>1. Hệ thống redirect về /login. 2. Trang login hiển thị đúng.</t>
  </si>
  <si>
    <t>ProtectedRoute component hoạt động đúng trên UI</t>
  </si>
  <si>
    <t>ITC_32.3</t>
  </si>
  <si>
    <t>1. GET /api/debug/roles. 2. GET /api/debug/db-connection.</t>
  </si>
  <si>
    <t>1. HTTP 200. 2. Thông tin roles và kết nối DB trả về đúng.</t>
  </si>
  <si>
    <t>Debug endpoint dùng cho CI health check</t>
  </si>
  <si>
    <r>
      <t>E2E:</t>
    </r>
    <r>
      <rPr>
        <sz val="10"/>
        <color theme="1"/>
        <rFont val="Segoe UI"/>
        <family val="2"/>
      </rPr>
      <t> Luồng trọn vẹn Đặt lịch → Xác nhận → Kê đơn → Đánh giá → Dọn dẹp</t>
    </r>
  </si>
  <si>
    <r>
      <t>E2E:</t>
    </r>
    <r>
      <rPr>
        <sz val="10"/>
        <color theme="1"/>
        <rFont val="Segoe UI"/>
        <family val="2"/>
      </rPr>
      <t> Kiểm tra chặn truy cập trái phép trên UI</t>
    </r>
  </si>
  <si>
    <r>
      <t>E2E:</t>
    </r>
    <r>
      <rPr>
        <sz val="10"/>
        <color theme="1"/>
        <rFont val="Segoe UI"/>
        <family val="2"/>
      </rPr>
      <t> Debug xác minh phân quyền và kết nối CSDL</t>
    </r>
  </si>
  <si>
    <t>Mã Test Case</t>
  </si>
  <si>
    <t>Tên Kịch Bản API</t>
  </si>
  <si>
    <t>Phân Hệ</t>
  </si>
  <si>
    <t>Các Bước Thực Hiện (Steps)</t>
  </si>
  <si>
    <t>Kết Quả Mong Muốn (Expected)</t>
  </si>
  <si>
    <t>Tester (Người Test)</t>
  </si>
  <si>
    <t>Developer (Người Sửa Bug)</t>
  </si>
  <si>
    <t>Trạng Thái</t>
  </si>
  <si>
    <t>Ngày Chạy</t>
  </si>
  <si>
    <t>AUTH-001</t>
  </si>
  <si>
    <t>[POST] /api/auth/register - Đăng ký thành công</t>
  </si>
  <si>
    <t>Auth &amp; Security</t>
  </si>
  <si>
    <t>1. Gửi request [POST] tại endpoint /api/auth/register_x000D_
2. Request Body raw:_x000D_
{"username":"user001","email":"user001@doctor.com","password":"Password123!","fullName":"Nguyễn Văn A","phone":"0987654321"}</t>
  </si>
  <si>
    <t>1. API phản hồi thành công._x000D_
Ràng buộc kiểm thử:_x000D_
• Mã phản hồi phải là 201 Created_x000D_
• Cấu trúc trả về có chứa {token, refreshToken, id, username, email, role}</t>
  </si>
  <si>
    <t>AUTH-002</t>
  </si>
  <si>
    <t>[POST] /api/auth/register - Thiếu username</t>
  </si>
  <si>
    <t>1. Gửi request [POST] tại endpoint /api/auth/register_x000D_
2. Request Body raw:_x000D_
{"email":"test@doctor.com","password":"Password123!","fullName":"Test"}</t>
  </si>
  <si>
    <t>1. API trả lỗi phía Client._x000D_
Ràng buộc kiểm thử:_x000D_
• Mã phản hồi phải là 400 Bad Request_x000D_
• Thông báo lỗi chi tiết: "Username is required"</t>
  </si>
  <si>
    <t>AUTH-003</t>
  </si>
  <si>
    <t>[POST] /api/auth/register - Thiếu email</t>
  </si>
  <si>
    <t>1. Gửi request [POST] tại endpoint /api/auth/register_x000D_
2. Request Body raw:_x000D_
{"username":"user002","password":"Password123!","fullName":"Test"}</t>
  </si>
  <si>
    <t>1. API trả lỗi phía Client._x000D_
Ràng buộc kiểm thử:_x000D_
• Mã phản hồi phải là 400 Bad Request_x000D_
• Thông báo lỗi chi tiết: "Email is required"</t>
  </si>
  <si>
    <t>AUTH-004</t>
  </si>
  <si>
    <t>[POST] /api/auth/register - Thiếu password</t>
  </si>
  <si>
    <t>1. Gửi request [POST] tại endpoint /api/auth/register_x000D_
2. Request Body raw:_x000D_
{"username":"user003","email":"user003@doctor.com","fullName":"Test"}</t>
  </si>
  <si>
    <t>1. API trả lỗi phía Client._x000D_
Ràng buộc kiểm thử:_x000D_
• Mã phản hồi phải là 400 Bad Request_x000D_
• Thông báo lỗi chi tiết: "Password is required"</t>
  </si>
  <si>
    <t>AUTH-005</t>
  </si>
  <si>
    <t>[POST] /api/auth/register - Thiếu fullName</t>
  </si>
  <si>
    <t>1. Gửi request [POST] tại endpoint /api/auth/register_x000D_
2. Request Body raw:_x000D_
{"username":"user004","email":"user004@doctor.com","password":"Password123!"}</t>
  </si>
  <si>
    <t>1. API trả lỗi phía Client._x000D_
Ràng buộc kiểm thử:_x000D_
• Mã phản hồi phải là 400 Bad Request_x000D_
• Thông báo lỗi chi tiết: "Full name is required"</t>
  </si>
  <si>
    <t>AUTH-006</t>
  </si>
  <si>
    <t>[POST] /api/auth/register - Email không hợp lệ</t>
  </si>
  <si>
    <t>1. Gửi request [POST] tại endpoint /api/auth/register_x000D_
2. Request Body raw:_x000D_
{"username":"user005","email":"invalid-email","password":"Password123!","fullName":"Test"}</t>
  </si>
  <si>
    <t>1. API trả lỗi phía Client._x000D_
Ràng buộc kiểm thử:_x000D_
• Mã phản hồi phải là 400 Bad Request_x000D_
• Thông báo lỗi chi tiết: "Email should be valid"</t>
  </si>
  <si>
    <t>AUTH-007</t>
  </si>
  <si>
    <t>[POST] /api/auth/register - Username trùng lặp</t>
  </si>
  <si>
    <t>1. Gửi request [POST] tại endpoint /api/auth/register_x000D_
2. Request Body raw:_x000D_
{"username":"patienttest","email":"dup@test.com","password":"Pass123!","fullName":"Dup"}</t>
  </si>
  <si>
    <t>1. API trả lỗi trùng lặp dữ liệu hệ thống._x000D_
Ràng buộc kiểm thử:_x000D_
• Mã phản hồi phải là 400 Bad Request_x000D_
• Thông báo lỗi chi tiết: "Username already exists"</t>
  </si>
  <si>
    <t>AUTH-008</t>
  </si>
  <si>
    <t>[POST] /api/auth/login - Đăng nhập thành công</t>
  </si>
  <si>
    <t>1. Gửi request [POST] tại endpoint /api/auth/login_x000D_
2. Request Body raw:_x000D_
{"username":"patienttest","password":"Password123!"}</t>
  </si>
  <si>
    <t>1. API xác thực thành công._x000D_
Ràng buộc kiểm thử:_x000D_
• Mã phản hồi phải là 200 OK_x000D_
• Cấu trúc trả về có chứa {token, refreshToken, id, username, email, role}</t>
  </si>
  <si>
    <t>AUTH-009</t>
  </si>
  <si>
    <t>[POST] /api/auth/login - Sai password</t>
  </si>
  <si>
    <t>1. Gửi request [POST] tại endpoint /api/auth/login_x000D_
2. Request Body raw:_x000D_
{"username":"patienttest","password":"wrongpass"}</t>
  </si>
  <si>
    <t>1. API từ chối xác thực tài khoản._x000D_
Ràng buộc kiểm thử:_x000D_
• Mã phản hồi phải là 401 Unauthorized_x000D_
• Thông báo lỗi chi tiết: "Invalid username or password"</t>
  </si>
  <si>
    <t>AUTH-010</t>
  </si>
  <si>
    <t>[POST] /api/auth/login - Username không tồn tại</t>
  </si>
  <si>
    <t>1. Gửi request [POST] tại endpoint /api/auth/login_x000D_
2. Request Body raw:_x000D_
{"username":"notexist123","password":"Password123!"}</t>
  </si>
  <si>
    <t>AUTH-011</t>
  </si>
  <si>
    <t>[POST] /api/auth/login - Bỏ trống username</t>
  </si>
  <si>
    <t>1. Gửi request [POST] tại endpoint /api/auth/login_x000D_
2. Request Body raw:_x000D_
{"username":"","password":"Password123!"}</t>
  </si>
  <si>
    <t>AUTH-012</t>
  </si>
  <si>
    <t>[POST] /api/auth/login - Bỏ trống password</t>
  </si>
  <si>
    <t>1. Gửi request [POST] tại endpoint /api/auth/login_x000D_
2. Request Body raw:_x000D_
{"username":"patienttest","password":""}</t>
  </si>
  <si>
    <t>AUTH-013</t>
  </si>
  <si>
    <t>[GET] /api/auth/test - Test endpoint</t>
  </si>
  <si>
    <t>1. Gửi request [GET] tại endpoint /api/auth/test</t>
  </si>
  <si>
    <t>1. API phản hồi trạng thái hoạt động._x000D_
Ràng buộc kiểm thử:_x000D_
• Mã phản hồi phải là 200 OK_x000D_
• Nội dung trả về: "Auth endpoint is working!"</t>
  </si>
  <si>
    <t>PAT-PROFILE-001</t>
  </si>
  <si>
    <t>[GET] Lấy thông tin profile</t>
  </si>
  <si>
    <t>Patient</t>
  </si>
  <si>
    <t>1. Gửi request [GET] tại endpoint /api/patient/profile với Header chứa token hợp lệ</t>
  </si>
  <si>
    <t>1. API trả về thông tin profile cá nhân cóa bệnh nhân._x000D_
Ràng buộc kiểm thử:_x000D_
• Mã phản hồi phải là 200 OK_x000D_
• Dữ liệu trả về đúng định dng PatientResponse (id, email, fullName, phone, walletBalance, loyaltyPoints, loyaltyTier)</t>
  </si>
  <si>
    <t>PAT-PROFILE-002</t>
  </si>
  <si>
    <t>[GET] Không có token</t>
  </si>
  <si>
    <t>1. Gửi request [GET] tại endpoint /api/patient/profile (Không truyền token xác thực)</t>
  </si>
  <si>
    <t>1. API từ chối truy cập do thiếu quyền xác thực._x000D_
Ràng buộc kiểm thử:_x000D_
• Mã phản hồi phải là 403 Forbidden</t>
  </si>
  <si>
    <t>PAT-PROFILE-003</t>
  </si>
  <si>
    <t>[PUT] Cập nhật profile thành công</t>
  </si>
  <si>
    <t>1. Gửi request [PUT] tại endpoint /api/patient/profile_x000D_
2. Request Body raw:_x000D_
{"fullName":"Tên mới","phone":"0999999999"}</t>
  </si>
  <si>
    <t>1. API cóp nhật thông tin cá nhân thành công._x000D_
Ràng buộc kiểm thử:_x000D_
• Mã phản hồi phải là 200 OK_x000D_
• Dữ liệu trả về hiển thị PatientResponse đã được thay đổi</t>
  </si>
  <si>
    <t>PAT-PROFILE-004</t>
  </si>
  <si>
    <t>[PUT] Token không hợp lệ</t>
  </si>
  <si>
    <t>1. Gửi request [PUT] tại endpoint /api/patient/profile với Token sai/hết hạn_x000D_
2. Request Body raw:_x000D_
{"fullName":"Updated"}</t>
  </si>
  <si>
    <t>1. API chặn quyền cóp nhật dữ liệu._x000D_
Ràng buộc kiểm thử:_x000D_
• Mã phản hồi phải là 403 Forbidden</t>
  </si>
  <si>
    <t>PAT-PROFILE-005</t>
  </si>
  <si>
    <t>[POST] Đổi mật khẩu thành công</t>
  </si>
  <si>
    <t>1. Gửi request [POST] tại endpoint /api/patient/change-password_x000D_
2. Request Body raw:_x000D_
{"oldPassword":"Password123!","newPassword":"NewPass456!"}</t>
  </si>
  <si>
    <t>1. Hệ thống lưu thay đổi mật khẩu thành công._x000D_
Ràng buộc kiểm thử:_x000D_
• Mã phản hồi kỳ vậng là 200 OK</t>
  </si>
  <si>
    <t>PAT-PROFILE-006</t>
  </si>
  <si>
    <t>[POST] Sai oldPassword</t>
  </si>
  <si>
    <t>1. Gửi request [POST] tại endpoint /api/patient/change-password_x000D_
2. Request Body raw:_x000D_
{"oldPassword":"wrong","newPassword":"NewPass456!"}</t>
  </si>
  <si>
    <t>1. API báo lỗi sai mật khẩu có._x000D_
Ràng buộc kiểm thử:_x000D_
• Mã phản hồi phải là 400 Bad Request_x000D_
• Chi tiết lỗi: "Current password is incorrect"</t>
  </si>
  <si>
    <t>PAT-PROFILE-007</t>
  </si>
  <si>
    <t>[POST] Bỏ trống oldPassword</t>
  </si>
  <si>
    <t>1. Gửi request [POST] tại endpoint /api/patient/change-password_x000D_
2. Request Body raw:_x000D_
{"oldPassword":"","newPassword":"NewPass456!"}</t>
  </si>
  <si>
    <t>1. Hệ thông báo lỗi dữ liệu trạng._x000D_
Ràng buộc kiểm thử:_x000D_
• Mã phản hồi phải là 400 Bad Request</t>
  </si>
  <si>
    <t>PAT-PROFILE-008</t>
  </si>
  <si>
    <t>[POST] Bỏ trống newPassword</t>
  </si>
  <si>
    <t>1. Gửi request [POST] tại endpoint /api/patient/change-password_x000D_
2. Request Body raw:_x000D_
{"oldPassword":"Password123!","newPassword":""}</t>
  </si>
  <si>
    <t>PAT-DOC-001</t>
  </si>
  <si>
    <t>[GET] Lấy danh sách bác sĩ</t>
  </si>
  <si>
    <t>1. Gửi request [GET] tại endpoint /api/patient/doctors</t>
  </si>
  <si>
    <t>1. API trả về danh sách các bác sĩ._x000D_
Ràng buộc kiểm thử:_x000D_
• Mã phản hồi phải là 200 OK_x000D_
• Bộ lọc chỉ hiển thị các bác sĩ có trạng thái hoạt động là ACTIVE</t>
  </si>
  <si>
    <t>PAT-DOC-002</t>
  </si>
  <si>
    <t>[GET] Tìm kiếm bác sĩ</t>
  </si>
  <si>
    <t>1. Gửi request [GET] tới danh sách bác sĩ kèm tham số: /api/patient/doctorsốsearch=tên bác sĩ</t>
  </si>
  <si>
    <t>1. API trả về danh sách bác sĩ có tên trùng khớp từ khóa tìm kiểm._x000D_
Ràng buộc kiểm thử:_x000D_
• Mã phản hồi phải là 200 OK_x000D_
• Trả về mảng List&lt;DoctorResponse&gt; đã được filter chuẩn</t>
  </si>
  <si>
    <t>PAT-DOC-003</t>
  </si>
  <si>
    <t>[GET] Lấy chi tiết bác sĩ</t>
  </si>
  <si>
    <t>1. Gửi request [GET] tại endpoint lấy thông tin chi tiết: /api/patient/doctors/{id}</t>
  </si>
  <si>
    <t>1. API trả về thông tin chi tiết bác sĩ theo Id chỉ định._x000D_
Ràng buộc kiểm thử:_x000D_
• Mã phản hồi phải là 200 OK_x000D_
• Cấu trúc trả về đúng chuẩn DoctorResponse</t>
  </si>
  <si>
    <t>PAT-DOC-004</t>
  </si>
  <si>
    <t>[GET] Bác số không tồn tại</t>
  </si>
  <si>
    <t>1. Gửi request [GET] tại một Id bác sĩ quá lớn không có trong hệ thống: /api/patient/doctors/99999</t>
  </si>
  <si>
    <t>1. API báo lỗi không tìm thủy tài nguyên hệ thống._x000D_
Ràng buộc kiểm thử:_x000D_
• Mã phản hồi phải là 404 Not Found</t>
  </si>
  <si>
    <t>PAT-DOC-005</t>
  </si>
  <si>
    <t>[GET] Bác số ID = 0</t>
  </si>
  <si>
    <t>1. Gửi request [GET] tại endpoint vềi Id không hợp lệ: /api/patient/doctors/0</t>
  </si>
  <si>
    <t>1. API kiểm tra Id và trả về lỗi tài nguyên không khả dng._x000D_
Ràng buộc kiểm thử:_x000D_
• Mã phản hồi phải là 404 Not Found</t>
  </si>
  <si>
    <t>PAT-APPT-001</t>
  </si>
  <si>
    <t>[POST] Tạo lịch hẹn CASH</t>
  </si>
  <si>
    <t>1. Gửi request [POST] tại endpoint /api/patient/appointments_x000D_
2. Request Body raw:_x000D_
{"doctorId":1,"appointmentDate":"2026-06-20","appointmentTime":"09:00","paymentMethod":"CASH","notes":"Đau đầu"}</t>
  </si>
  <si>
    <t>1. Đặt lịch hẹn theo phương thức tiền một thành công._x000D_
Ràng buộc kiểm thử:_x000D_
• Mã phản hồi phải là 201 Created_x000D_
• Trả về đúng thông tin AppointmentResponse</t>
  </si>
  <si>
    <t>PAT-APPT-002</t>
  </si>
  <si>
    <t>[POST] Tạo lịch hẹn VNPAY</t>
  </si>
  <si>
    <t>1. Gửi request [POST] tại endpoint /api/patient/appointments_x000D_
2. Request Body raw:_x000D_
{"doctorId":1,"appointmentDate":"2026-06-20","appointmentTime":"10:00","paymentMethod":"VNPAY"}</t>
  </si>
  <si>
    <t>1. Khồi tạo thanh toán lịch hẹn qua cổng VNPAY thành công._x000D_
Ràng buộc kiểm thử:_x000D_
• Mã phản hồi phải là 201 Created_x000D_
• Cấu trúc trả về có chứa {appointment, paymentUrl, referenceId}</t>
  </si>
  <si>
    <t>PAT-APPT-003</t>
  </si>
  <si>
    <t>[POST] Tạo lịch hẹn WALLET</t>
  </si>
  <si>
    <t>1. Gửi request [POST] tại endpoint /api/patient/appointments_x000D_
2. Request Body raw:_x000D_
{"doctorId":1,"appointmentDate":"2026-06-20","appointmentTime":"11:00","paymentMethod":"WALLET"}</t>
  </si>
  <si>
    <t>1. Trừ tiền ví điện từ cóa bệnh nhân và đặt lịch thành công._x000D_
Ràng buộc kiểm thử:_x000D_
• Mã phản hồi phải là 201 Created_x000D_
• Phần hồi dữ liệu AppointmentResponse</t>
  </si>
  <si>
    <t>PAT-APPT-004</t>
  </si>
  <si>
    <t>[POST] Thiếu doctorId</t>
  </si>
  <si>
    <t>1. Gửi request [POST] tại endpoint /api/patient/appointments_x000D_
2. Request Body raw:_x000D_
{"appointmentDate":"2026-06-20","appointmentTime":"09:00"}</t>
  </si>
  <si>
    <t>1. API validation báo lỗi thiếu trường thông tin cần thiết._x000D_
Ràng buộc kiểm thử:_x000D_
• Mã phản hồi phải là 400 Bad Request_x000D_
• Chi tiết thông báo lỗi: "Doctor ID is required"</t>
  </si>
  <si>
    <t>PAT-APPT-005</t>
  </si>
  <si>
    <t>[POST] Thiếu appointmentDate</t>
  </si>
  <si>
    <t>1. Gửi request [POST] tại endpoint /api/patient/appointments_x000D_
2. Request Body raw:_x000D_
{"doctorId":1,"appointmentTime":"09:00"}</t>
  </si>
  <si>
    <t>1. API validation báo lỗi thiếu trường thông tin cần thiết._x000D_
Ràng buộc kiểm thử:_x000D_
• Mã phản hồi phải là 400 Bad Request_x000D_
• Chi tiết thông báo lỗi: "Appointment date is required"</t>
  </si>
  <si>
    <t>PAT-APPT-006</t>
  </si>
  <si>
    <t>[POST] Thiếu appointmentTime</t>
  </si>
  <si>
    <t>1. Gửi request [POST] tại endpoint /api/patient/appointments_x000D_
2. Request Body raw:_x000D_
{"doctorId":1,"appointmentDate":"2026-06-20"}</t>
  </si>
  <si>
    <t>1. API validation báo lỗi thiếu trường thông tin cần thiết._x000D_
Ràng buộc kiểm thử:_x000D_
• Mã phản hồi phải là 400 Bad Request_x000D_
• Chi tiết thông báo lỗi: "Appointment time is required"</t>
  </si>
  <si>
    <t>PAT-APPT-007</t>
  </si>
  <si>
    <t>[POST] DoctorId không tồn tại</t>
  </si>
  <si>
    <t>1. Gửi request [POST] tại endpoint /api/patient/appointments_x000D_
2. Request Body raw:_x000D_
{"doctorId":99999,"appointmentDate":"2026-06-20","appointmentTime":"09:00"}</t>
  </si>
  <si>
    <t>1. Hệ thông báo lỗi dữ liệu ID bác sĩ không hợp lệ._x000D_
Ràng buộc kiểm thử:_x000D_
• Mã phản hồi phải là 400 Bad Request</t>
  </si>
  <si>
    <t>PAT-APPT-008</t>
  </si>
  <si>
    <t>[POST] Thời gian đã đặt</t>
  </si>
  <si>
    <t>1. Gửi request [POST] tại endpoint /api/patient/appointments trùng giờ cóa case trước_x000D_
2. Request Body raw:_x000D_
{"doctorId":1,"appointmentDate":"2026-06-20","appointmentTime":"09:00"}</t>
  </si>
  <si>
    <t>1. Hệ thống chặn trùng lặp ca khám cóa bác sĩ._x000D_
Ràng buộc kiểm thử:_x000D_
• Mã phản hồi phải là 400 Bad Request_x000D_
• Chi tiết thông báo lỗi: "Time slot already booked"</t>
  </si>
  <si>
    <t>PAT-APPT-009</t>
  </si>
  <si>
    <t>[POST] Tạo cho family member</t>
  </si>
  <si>
    <t>1. Gửi request [POST] tại endpoint /api/patient/appointments kèm người thân_x000D_
2. Request Body raw:_x000D_
{"doctorId":1,"appointmentDate":"2026-06-20","appointmentTime":"14:00","familyMemberId":1}</t>
  </si>
  <si>
    <t>1. Hệ thống ghi nhân tạo thành công ca khám hệ người thân._x000D_
Ràng buộc kiểm thử:_x000D_
• Mã phản hồi phải là 201 Created</t>
  </si>
  <si>
    <t>PAT-APPT-010</t>
  </si>
  <si>
    <t>[POST] Family member không thuộc quyền</t>
  </si>
  <si>
    <t>1. Gửi request [POST] tại endpoint /api/patient/appointments_x000D_
2. Request Body raw:_x000D_
{"doctorId":1,"appointmentDate":"2026-06-20","appointmentTime":"15:00","familyMemberId":99999}</t>
  </si>
  <si>
    <t>1. Hệ thống ngăn chặn do người thân này không liên kết vềi tài khoản bệnh nhân._x000D_
Ràng buộc kiểm thử:_x000D_
• Mã phản hồi phải là 400 Bad Request</t>
  </si>
  <si>
    <t>PAT-APPT-011</t>
  </si>
  <si>
    <t>[GET] Lấy danh sách lịch hẹn</t>
  </si>
  <si>
    <t>1. Gửi request [GET] tại endpoint /api/patient/appointments</t>
  </si>
  <si>
    <t>1. Trả về danh sách toàn bỏ các lịch hẹn mà bệnh nhân hiển tại đã đăng ký._x000D_
Ràng buộc kiểm thử:_x000D_
• Mã phản hồi phải là 200 OK_x000D_
• Dữ liệu là mảng đúng dng List&lt;AppointmentResponse&gt;</t>
  </si>
  <si>
    <t>PAT-APPT-012</t>
  </si>
  <si>
    <t>[GET] Lấy chi tiết lịch hẹn</t>
  </si>
  <si>
    <t>1. Gửi request [GET] tại endpoint xem chi tiết: /api/patient/appointments/{id}</t>
  </si>
  <si>
    <t>1. Trả về thông tin đầy đã cóa một ca đặt lịch có thị._x000D_
Ràng buộc kiểm thử:_x000D_
• Mã phản hồi phải là 200 OK_x000D_
• Khợp định dng AppointmentResponse</t>
  </si>
  <si>
    <t>PAT-APPT-013</t>
  </si>
  <si>
    <t>[GET] Lọch hẹn không thuộc về mình</t>
  </si>
  <si>
    <t>1. Gửi request [GET] tại endpoint /api/patient/appointments/1 nhưng sử dụng Token xác thực cóa tài khoản Doctor</t>
  </si>
  <si>
    <t>1. Hệ thống phân quyền báo lỗi truy cập trái phép chéo dữ liệu._x000D_
Ràng buộc kiểm thử:_x000D_
• Mã phản hồi phải là 403 Forbidden</t>
  </si>
  <si>
    <t>PAT-APPT-014</t>
  </si>
  <si>
    <t>[GET] Lọch hẹn không tồn tại</t>
  </si>
  <si>
    <t>1. Gửi request [GET] tại endpoint vềi Id ảo: /api/patient/appointments/99999</t>
  </si>
  <si>
    <t>1. Hệ thông báo lỗi không tìm thủy ca đặt lịch._x000D_
Ràng buộc kiểm thử:_x000D_
• Mã phản hồi phải là 404 Not Found</t>
  </si>
  <si>
    <t>PAT-APPT-015</t>
  </si>
  <si>
    <t>[DELETE] Hủy lịch hẹn thành công</t>
  </si>
  <si>
    <t>1. Gửi request [DELETE] hủy ca hẹn cóa mình tại endpoint: /api/patient/appointments/{id}</t>
  </si>
  <si>
    <t>1. Cập nhật trạng thái lịch sang CANCELLED thành công._x000D_
Ràng buộc kiểm thử:_x000D_
• Mã phản hồi phải là 200 OK</t>
  </si>
  <si>
    <t>PAT-APPT-016</t>
  </si>
  <si>
    <t>[DELETE] Hủy lịch không tồn tại</t>
  </si>
  <si>
    <t>1. Gửi request [DELETE] hủy ca hẹn vềi Id ảo tại endpoint: /api/patient/appointments/99999</t>
  </si>
  <si>
    <t>1. Trả về lỗi không có ca hẹn này đã xử lệ hủy._x000D_
Ràng buộc kiểm thử:_x000D_
• Mã phản hồi phải là 404 Not Found</t>
  </si>
  <si>
    <t>PAT-APPT-017</t>
  </si>
  <si>
    <t>[GET] Lấy khung giờ trạng</t>
  </si>
  <si>
    <t>1. Gửi request [GET] tại endpoint: /api/patient/appointments/available-slotsốdoctorId=1&amp;date=2026-06-21</t>
  </si>
  <si>
    <t>1. Trả về mảng danh sách các giờ bác sĩ chưa có lịch hẹn vào ngày được chặn._x000D_
Ràng buộc kiểm thử:_x000D_
• Mã phản hồi phải là 200 OK_x000D_
• Kiểu dữ liệu List&lt;String&gt;</t>
  </si>
  <si>
    <t>PAT-APPT-018</t>
  </si>
  <si>
    <t>[GET] Khung giờ theo ngày</t>
  </si>
  <si>
    <t>1. Gửi request [GET] tại endpoint: /api/patient/appointments/available-slotsốdoctorId=1&amp;date=2026-06-20</t>
  </si>
  <si>
    <t>1. Lấy khung giờ khả dng cho ngày hiển tại cóa bác sĩ._x000D_
Ràng buộc kiểm thử:_x000D_
• Mã phản hồi phải là 200 OK_x000D_
• Trả về mảng List&lt;String&gt; chứa thông tin giờ giờc chính xác</t>
  </si>
  <si>
    <t>PAT-APPT-019</t>
  </si>
  <si>
    <t>[GET] Treatment chưa có</t>
  </si>
  <si>
    <t>1. Gửi request [GET] tại thông tin điều trị cóa ca hẹn chưa kết thúc khám: /api/patient/appointments/1/treatment</t>
  </si>
  <si>
    <t>1. Trả về do ca khám chưa được bác sĩ lên phác đồ điều trị._x000D_
Ràng buộc kiểm thử:_x000D_
• Mã phản hồi phải là 404 Not Found</t>
  </si>
  <si>
    <t>PAT-APPT-020</t>
  </si>
  <si>
    <t>1. Gửi request [GET] tại endpoint cóa ca khám không tồn tại: /api/patient/appointments/99999/treatment</t>
  </si>
  <si>
    <t>1. Hệ thông báo lỗi mở ca đặt lịch không đúng._x000D_
Ràng buộc kiểm thử:_x000D_
• Mã phản hồi phải là 404 Not Found</t>
  </si>
  <si>
    <t>PAT-TREAT-001</t>
  </si>
  <si>
    <t>[GET] Lấy danh sách điều trị</t>
  </si>
  <si>
    <t>1. Gửi request [GET] tại endpoint /api/patient/treatments</t>
  </si>
  <si>
    <t>1. Trả về toàn bỏ danh sách kết quả điều trị/đơn thuộc cóa bệnh nhân._x000D_
Ràng buộc kiểm thử:_x000D_
• Mã phản hồi phải là 200 OK_x000D_
• Cấu trúc danh sách là List&lt;TreatmentResponse&gt;</t>
  </si>
  <si>
    <t>PAT-TREAT-002</t>
  </si>
  <si>
    <t>[GET] Chi tiết điều trị</t>
  </si>
  <si>
    <t>1. Gửi request [GET] xem một đơn điều trị có thị tại endpoint: /api/patient/treatments/1</t>
  </si>
  <si>
    <t>1. Trả về thông tin chi tiết cóa đơn thuộc/bệnh án được chỉ định._x000D_
Ràng buộc kiểm thử:_x000D_
• Mã phản hồi phải là 200 OK_x000D_
• Phần hồi chuẩn dng dữ liệu TreatmentResponse</t>
  </si>
  <si>
    <t>PAT-TREAT-003</t>
  </si>
  <si>
    <t>[GET] Treatment không thuộc về mình</t>
  </si>
  <si>
    <t>1. Gửi request [GET] tại endpoint /api/patient/treatments/1 nhưng dùng Token tài khoản Doctor khác</t>
  </si>
  <si>
    <t>1. Hệ thống chặn quyền xem do bệnh án này thuộc về bệnh nhân khác._x000D_
Ràng buộc kiểm thử:_x000D_
• Mã phản hồi phải là 403 Forbidden</t>
  </si>
  <si>
    <t>PAT-TREAT-004</t>
  </si>
  <si>
    <t>[GET] Treatment không tồn tại</t>
  </si>
  <si>
    <t>1. Gửi request [GET] tại endpoint vềi Id ảo: /api/patient/treatments/99999</t>
  </si>
  <si>
    <t>1. Hệ thông báo lỗi không tìm thủy bệnh án này._x000D_
Ràng buộc kiểm thử:_x000D_
• Mã phản hồi phải là 404 Not Found</t>
  </si>
  <si>
    <t>PAT-FB-001</t>
  </si>
  <si>
    <t>[POST] Tạo feedback thành công</t>
  </si>
  <si>
    <t>1. Gửi request [POST] tại endpoint /api/patient/feedbacks_x000D_
2. Request Body raw:_x000D_
{"appointmentId":1,"rating":5,"comment":"Bác số tất"}</t>
  </si>
  <si>
    <t>1. Hệ thống lưu lỗi đánh giá dịch vụ thành công._x000D_
Ràng buộc kiểm thử:_x000D_
• Mã phản hồi phải là 201 Created_x000D_
• Định dng trả về chứa FeedbackResponse đầy đã</t>
  </si>
  <si>
    <t>PAT-FB-002</t>
  </si>
  <si>
    <t>[POST] Rating &gt; 5</t>
  </si>
  <si>
    <t>1. Gửi request [POST] tại endpoint /api/patient/feedbacks_x000D_
2. Request Body raw:_x000D_
{"appointmentId":1,"rating":10}</t>
  </si>
  <si>
    <t>1. Hệ thông báo lỗi do vượt quá thang điểm đánh giá tại đa._x000D_
Ràng buộc kiểm thử:_x000D_
• Mã phản hồi phải là 400 Bad Request</t>
  </si>
  <si>
    <t>PAT-FB-003</t>
  </si>
  <si>
    <t>[POST] Rating &lt; 1</t>
  </si>
  <si>
    <t>1. Gửi request [POST] tại endpoint /api/patient/feedbacks_x000D_
2. Request Body raw:_x000D_
{"appointmentId":1,"rating":0}</t>
  </si>
  <si>
    <t>1. Hệ thông báo lỗi do dưới mục thang điểm đánh giá tại thiếu._x000D_
Ràng buộc kiểm thử:_x000D_
• Mã phản hồi phải là 400 Bad Request</t>
  </si>
  <si>
    <t>PAT-FB-004</t>
  </si>
  <si>
    <t>[GET] Lấy danh sách feedback</t>
  </si>
  <si>
    <t>1. Gửi request [GET] tại endpoint /api/patient/feedbacks</t>
  </si>
  <si>
    <t>1. Trả về danh sách các đánh giá mà bệnh nhân này đã thực hiển._x000D_
Ràng buộc kiểm thử:_x000D_
• Mã phản hồi phải là 200 OK_x000D_
• Trả về mảng kiểu List&lt;FeedbackResponse&gt;</t>
  </si>
  <si>
    <t>PAT-FB-005</t>
  </si>
  <si>
    <t>[GET] Chi tiết feedback</t>
  </si>
  <si>
    <t>1. Gửi request [GET] tại endpoint xem chi tiết: /api/patient/feedbacks/1</t>
  </si>
  <si>
    <t>1. Trả về thông tin đánh giá chi tiết có thị._x000D_
Ràng buộc kiểm thử:_x000D_
• Mã phản hồi phải là 200 OK</t>
  </si>
  <si>
    <t>PAT-FB-006</t>
  </si>
  <si>
    <t>[PUT] Cập nhật feedback</t>
  </si>
  <si>
    <t>1. Gửi request [PUT] tại endpoint chỉnh sửa đánh giá: /api/patient/feedbacks/{id}_x000D_
2. Request Body raw:_x000D_
{"rating":4,"comment":"Cập nhật"}</t>
  </si>
  <si>
    <t>1. Hệ thống lưu thông tin đánh giá mới thay thị thành công._x000D_
Ràng buộc kiểm thử:_x000D_
• Mã phản hồi phải là 200 OK</t>
  </si>
  <si>
    <t>PAT-AI-001</t>
  </si>
  <si>
    <t>[POST] Ki?m tra triệu chứng</t>
  </si>
  <si>
    <t>1. Gửi request [POST] tại endpoint /api/patient/ai/check-symptoms_x000D_
2. Request Body raw:_x000D_
{"symptoms":"Đau đầu, sốt, một mới"}</t>
  </si>
  <si>
    <t>1. Hệ thống AI phân tích triệu chứng khám và đưa ra phản hồi gửi ? chuyên khoa._x000D_
Ràng buộc kiểm thử:_x000D_
• Mã phản hồi phải là 200 OK_x000D_
• Dữ liệu trả về đúng kiểu cấu trúc SymptomCheckResponse</t>
  </si>
  <si>
    <t>PAT-AI-002</t>
  </si>
  <si>
    <t>[POST] Input rỗng</t>
  </si>
  <si>
    <t>1. Gửi request [POST] tại endpoint /api/patient/ai/check-symptoms_x000D_
2. Request Body raw:_x000D_
{"symptoms":""}</t>
  </si>
  <si>
    <t>1. Hệ thống chặn và yêu cấu nhợp thông tin triệu chứng rõ ràng._x000D_
Ràng buộc kiểm thử:_x000D_
• Mã phản hồi phải là 400 Bad Request_x000D_
• Thông báo lỗi có thử: "Vui lượng mô từ triệu chứng"</t>
  </si>
  <si>
    <t>WALLET-001</t>
  </si>
  <si>
    <t>[GET] Lấy thông tin ví</t>
  </si>
  <si>
    <t>Wallet</t>
  </si>
  <si>
    <t>1. Gửi request [GET] tại endpoint /api/patient/wallet</t>
  </si>
  <si>
    <t>1. Lấy thông tin số dư tài khoản hiển hành._x000D_
Ràng buộc kiểm thử:_x000D_
• Mã phản hồi phải là 200 OK_x000D_
• Trả về cấu trúc JSON gồm {balance, loyaltyPoints, loyaltyTier}</t>
  </si>
  <si>
    <t>WALLET-002</t>
  </si>
  <si>
    <t>[POST] Nạp tiền VNPAY</t>
  </si>
  <si>
    <t>1. Gửi request [POST] tại endpoint /api/patient/wallet/top-up_x000D_
2. Request Body raw:_x000D_
{"amount":100000,"paymentMethod":"VNPAY"}</t>
  </si>
  <si>
    <t>1. Khồi tạo cổng kết nội nạp tiền thành công._x000D_
Ràng buộc kiểm thử:_x000D_
• Mã phản hồi phải là 200 OK_x000D_
• Trả về link điều hướng: {paymentUrl, transactionId}</t>
  </si>
  <si>
    <t>WALLET-003</t>
  </si>
  <si>
    <t>[POST] Sự tiền &lt; 10000</t>
  </si>
  <si>
    <t>1. Gửi request [POST] tại endpoint /api/patient/wallet/top-up_x000D_
2. Request Body raw:_x000D_
{"amount":5000}</t>
  </si>
  <si>
    <t>1. Chặn nạp tiền do số tiền nhệ hơn hẹn mục tại thiếu cho phép._x000D_
Ràng buộc kiểm thử:_x000D_
• Mã phản hồi phải là 400 Bad Request</t>
  </si>
  <si>
    <t>WALLET-004</t>
  </si>
  <si>
    <t>[POST] Sự tiền &gt; 50000000</t>
  </si>
  <si>
    <t>1. Gửi request [POST] tại endpoint /api/patient/wallet/top-up_x000D_
2. Request Body raw:_x000D_
{"amount":60000000}</t>
  </si>
  <si>
    <t>1. Chặn nạp tiền do số tiền vượt quá hẹn mục tại đa quy định một lớn nạp._x000D_
Ràng buộc kiểm thử:_x000D_
• Mã phản hồi phải là 400 Bad Request</t>
  </si>
  <si>
    <t>WALLET-005</t>
  </si>
  <si>
    <t>[GET] Lấy lịch số giao dữch</t>
  </si>
  <si>
    <t>1. Gửi request [GET] tại endpoint /api/patient/wallet/transactions</t>
  </si>
  <si>
    <t>1. Trả về toàn bỏ lịch số biến động số dư tài khoản ví._x000D_
Ràng buộc kiểm thử:_x000D_
• Mã phản hồi phải là 200 OK_x000D_
• Cấu trúc đối tượng JSON chứa {transactions, totalPages, totalElements}</t>
  </si>
  <si>
    <t>WALLET-006</t>
  </si>
  <si>
    <t>[GET] Phân trang</t>
  </si>
  <si>
    <t>1. Gửi request [GET] kèm tham số phân trang: /api/patient/wallet/transactionsốpage=0&amp;size=5</t>
  </si>
  <si>
    <t>1. Trả về chính xác số lượng bản ghi cấu hành trên mới trang._x000D_
Ràng buộc kiểm thử:_x000D_
• Mã phản hồi phải là 200 OK_x000D_
• Sự lượng phản từ trả về giời hẹn đúng bảng 5 giao dữch</t>
  </si>
  <si>
    <t>FAM-001</t>
  </si>
  <si>
    <t>[GET] Lấy danh sách</t>
  </si>
  <si>
    <t>Family</t>
  </si>
  <si>
    <t>1. Gửi request [GET] tại endpoint /api/patient/family-members</t>
  </si>
  <si>
    <t>1. Trả về danh sách tất cả các thành viên gia định được liên kết vềi tài khoản này._x000D_
Ràng buộc kiểm thử:_x000D_
• Mã phản hồi phải là 200 OK_x000D_
• Trả về dng dữ liệu List&lt;FamilyMemberResponse&gt;</t>
  </si>
  <si>
    <t>FAM-002</t>
  </si>
  <si>
    <t>[GET] Lấy thông kê</t>
  </si>
  <si>
    <t>1. Gửi request [GET] tại endpoint /api/patient/family-members/stats</t>
  </si>
  <si>
    <t>1. Phần hồi các thông số dữ liệu phân tích số lượng người thân liên kết._x000D_
Ràng buộc kiểm thử:_x000D_
• Mã phản hồi phải là 200 OK_x000D_
• Định dng dữ liệu trả về: {totalMembers, memberDetails}</t>
  </si>
  <si>
    <t>FAM-003</t>
  </si>
  <si>
    <t>[POST] Thêm thành viên</t>
  </si>
  <si>
    <t>1. Gửi request [POST] tại endpoint /api/patient/family-members_x000D_
2. Request Body raw:_x000D_
{"fullName":"Nguyễn Văn B","relationship":"CON","dateOfBirth":"2010-01-01"}</t>
  </si>
  <si>
    <t>1. Ghi nhân thêm thông tin người thân vào hệ thống thành công._x000D_
Ràng buộc kiểm thử:_x000D_
• Mã phản hồi phải là 201 Created_x000D_
• Trả về thông tin chi tiết FamilyMemberResponse mới tạo</t>
  </si>
  <si>
    <t>FAM-004</t>
  </si>
  <si>
    <t>[POST] Thiếu fullName</t>
  </si>
  <si>
    <t>1. Gửi request [POST] tại endpoint /api/patient/family-members_x000D_
2. Request Body raw:_x000D_
{"relationship":"CON"}</t>
  </si>
  <si>
    <t>1. Validation chặn do thông tin bắt buộc bỏ bỏ trạng._x000D_
Ràng buộc kiểm thử:_x000D_
• Mã phản hồi phải là 400 Bad Request_x000D_
• Thông báo lỗi chi tiết: "Full name is required"</t>
  </si>
  <si>
    <t>FAM-005</t>
  </si>
  <si>
    <t>[POST] Thiếu relationship</t>
  </si>
  <si>
    <t>1. Gửi request [POST] tại endpoint /api/patient/family-members_x000D_
2. Request Body raw:_x000D_
{"fullName":"Test"}</t>
  </si>
  <si>
    <t>1. Validation chặn do thiếu thông tin vai trả mới quan hệ._x000D_
Ràng buộc kiểm thử:_x000D_
• Mã phản hồi phải là 400 Bad Request_x000D_
• Thông báo lỗi chi tiết: "Relationship is required"</t>
  </si>
  <si>
    <t>FAM-006</t>
  </si>
  <si>
    <t>[PUT] Cập nhật thành viên</t>
  </si>
  <si>
    <t>1. Gửi request [PUT] chỉnh sửa thông tin tại endpoint: /api/patient/family-members/{id}_x000D_
2. Request Body raw:_x000D_
{"fullName":"Tên mới"}</t>
  </si>
  <si>
    <t>1. Lưu chỉnh sửa thông tin thành viên gia định thành công._x000D_
Ràng buộc kiểm thử:_x000D_
• Mã phản hồi phải là 200 OK</t>
  </si>
  <si>
    <t>FAM-007</t>
  </si>
  <si>
    <t>[PUT] Không thuộc quyền</t>
  </si>
  <si>
    <t>1. Gửi request [PUT] chỉnh sửa thông tin người thân cóa tài khoản khác tại endpoint: /api/patient/family-members/1_x000D_
2. Request Body raw:_x000D_
{"fullName":"Updated"}</t>
  </si>
  <si>
    <t>1. Hệ thống phân quyền ngăn chặn chỉnh sửa trái phép dữ liệu chéo._x000D_
Ràng buộc kiểm thử:_x000D_
• Mã phản hồi phải là 403 Forbidden</t>
  </si>
  <si>
    <t>FAM-008</t>
  </si>
  <si>
    <t>[DELETE] Xóa thành viên</t>
  </si>
  <si>
    <t>1. Gửi request [DELETE] xóa bản ghi tại endpoint: /api/patient/family-members/{id}</t>
  </si>
  <si>
    <t>1. Bản ghi được xóa khởi liên kết tài khoản thành công._x000D_
Ràng buộc kiểm thử:_x000D_
• Mã phản hồi phải là 200 OK</t>
  </si>
  <si>
    <t>FAM-009</t>
  </si>
  <si>
    <t>[DELETE] Không từn tại</t>
  </si>
  <si>
    <t>1. Gửi request [DELETE] xóa mở Id ảo tại endpoint: /api/patient/family-members/99999</t>
  </si>
  <si>
    <t>1. Hệ thống không tìm thủy tài nguyên đã thực hiển lệnh xóa._x000D_
Ràng buộc kiểm thử:_x000D_
• Mã phản hồi phải là 404 Not Found</t>
  </si>
  <si>
    <t>NOT-001</t>
  </si>
  <si>
    <t>[GET] Lấy danh sách thông báo</t>
  </si>
  <si>
    <t>Notification</t>
  </si>
  <si>
    <t>1. Gửi request [GET] tại endpoint /api/patient/notifications</t>
  </si>
  <si>
    <t>1. Phần hồi mảng danh sách toàn bỏ thông báo hệ thống gửi cho bệnh nhân này._x000D_
Ràng buộc kiểm thử:_x000D_
• Mã phản hồi phải là 200 OK_x000D_
• Kiểu dữ liệu mảng là List&lt;NotificationResponse&gt;</t>
  </si>
  <si>
    <t>NOT-002</t>
  </si>
  <si>
    <t>[GET] Đảm chưa đặc</t>
  </si>
  <si>
    <t>1. Gửi request [GET] tại endpoint lấy số lượng: /api/patient/notifications/unread-count</t>
  </si>
  <si>
    <t>1. Trả ra tầng số lượng thông báo mà bệnh nhân chưa click xem._x000D_
Ràng buộc kiểm thử:_x000D_
• Mã phản hồi phải là 200 OK_x000D_
• Trả về định dng đúng gồm trường số nguyên {unreadCount}</t>
  </si>
  <si>
    <t>NOT-003</t>
  </si>
  <si>
    <t>[PUT] Đánh dữu đã đặc</t>
  </si>
  <si>
    <t>1. Gửi request [PUT] cóp nhật trạng thái một thông báo tại endpoint: /api/patient/notifications/{id}/read</t>
  </si>
  <si>
    <t>1. Bản ghi được cóp nhật trạng thái đã xem thành công._x000D_
Ràng buộc kiểm thử:_x000D_
• Mã phản hồi phải là 200 OK</t>
  </si>
  <si>
    <t>NOT-004</t>
  </si>
  <si>
    <t>[PUT] Đánh dữu tất cả đã đặc</t>
  </si>
  <si>
    <t>1. Gửi request [PUT] cóp nhật hàng loạt trạng thái tại endpoint: /api/patient/notifications/mark-all-read</t>
  </si>
  <si>
    <t>1. Toàn bỏ các thông báo chưa đặc cóa tài khoản này số chuyển sang trạng thái đã đặc thành công._x000D_
Ràng buộc kiểm thử:_x000D_
• Mã phản hồi phải là 200 OK</t>
  </si>
  <si>
    <t>NOT-005</t>
  </si>
  <si>
    <t>[DELETE] Xóa thông báo</t>
  </si>
  <si>
    <t>1. Gửi request [DELETE] xóa bản ghi thông báo tại endpoint: /api/patient/notifications/{id}</t>
  </si>
  <si>
    <t>1. Thông báo được gỡ hoàn toàn khởi hiển thị cóa người dùng._x000D_
Ràng buộc kiểm thử:_x000D_
• Mã phản hồi phải là 200 OK</t>
  </si>
  <si>
    <t>DOC-001</t>
  </si>
  <si>
    <t>[GET] Lấy profile bác sĩ</t>
  </si>
  <si>
    <t>Doctor</t>
  </si>
  <si>
    <t>1. Gửi request [GET] tại endpoint /api/doctor/profile vềi Token cóa tài khoản Doctor</t>
  </si>
  <si>
    <t>1. Trả về đầy đã thông tin chuyên môn, lịch số công tác cóa bác sĩ hiển tại._x000D_
Ràng buộc kiểm thử:_x000D_
• Mã phản hồi phải là 200 OK_x000D_
• Cấu trúc trả về là đối tượng JSON dng DoctorResponse</t>
  </si>
  <si>
    <t>DOC-002</t>
  </si>
  <si>
    <t>[GET] Patient gửi Doctor API</t>
  </si>
  <si>
    <t>1. Gửi request [GET] tại endpoint thông tin bác sĩ /api/doctor/profile nhưng sử dụng Header chứa Token cóa phân hệ Patient</t>
  </si>
  <si>
    <t>1. Hệ thống bảo một phân quyền ngăn chặn tài khoản không đúng Role truy cập._x000D_
Ràng buộc kiểm thử:_x000D_
• Mã phản hồi phải là 403 Forbidden</t>
  </si>
  <si>
    <t>DOC-003</t>
  </si>
  <si>
    <t>[PUT] Cập nhật profile</t>
  </si>
  <si>
    <t>1. Gửi request [PUT] tại endpoint /api/doctor/profile đã sửa thông tin cá nhân bác sĩ_x000D_
2. Request Body raw:_x000D_
{"fullName":"BS. Mới","specialization":"Nội khoa"}</t>
  </si>
  <si>
    <t>1. Hệ thống lưu thành công thông tin cóp nhật mới cóa bác sĩ._x000D_
Ràng buộc kiểm thử:_x000D_
• Mã phản hồi phải là 200 OK</t>
  </si>
  <si>
    <t>DOC-004</t>
  </si>
  <si>
    <t>[POST] Đổi mật khẩu</t>
  </si>
  <si>
    <t>1. Gửi request [POST] đổi mật khẩu bác sĩ tại endpoint: /api/doctor/change-password_x000D_
2. Request Body raw:_x000D_
{"oldPassword":"Pass123!","newPassword":"NewPass456!"}</t>
  </si>
  <si>
    <t>1. Đổi mật khẩu phân hệ bác sĩ hoàn tất._x000D_
Ràng buộc kiểm thử:_x000D_
• Mã phản hồi phải là 200 OK</t>
  </si>
  <si>
    <t>DOC-APPT-001</t>
  </si>
  <si>
    <t>1. Gửi request [GET] lấy danh sách lịch làm việc tại endpoint: /api/doctor/appointments</t>
  </si>
  <si>
    <t>1. Trả về toàn bỏ danh sách các ca đặt lịch hẹn khám cóa riêng bác sĩ đó._x000D_
Ràng buộc kiểm thử:_x000D_
• Mã phản hồi phải là 200 OK_x000D_
• Định dng mảng List&lt;AppointmentResponse&gt;</t>
  </si>
  <si>
    <t>DOC-APPT-002</t>
  </si>
  <si>
    <t>[GET] Lọc theo ngày</t>
  </si>
  <si>
    <t>1. Gửi request [GET] xem lịch trong ngày tại endpoint: /api/doctor/appointmentsốdate=2026-06-20</t>
  </si>
  <si>
    <t>1. Trả về chính xác các ca đặt lịch trùng khớp vềi ngày tham số._x000D_
Ràng buộc kiểm thử:_x000D_
• Mã phản hồi phải là 200 OK</t>
  </si>
  <si>
    <t>DOC-APPT-003</t>
  </si>
  <si>
    <t>[GET] Chi tiết lịch hẹn</t>
  </si>
  <si>
    <t>1. Gửi request [GET] xem chi tiết ca khám tại endpoint: /api/doctor/appointments/{id}</t>
  </si>
  <si>
    <t>1. Trả về thông tin chi tiết người bệnh và ca hẹn khám._x000D_
Ràng buộc kiểm thử:_x000D_
• Mã phản hồi phải là 200 OK</t>
  </si>
  <si>
    <t>DOC-APPT-004</t>
  </si>
  <si>
    <t>[GET] Lọch hẹn không thuộc bác sĩ</t>
  </si>
  <si>
    <t>1. Gửi request [GET] xem chi tiết lịch hẹn /api/doctor/appointments/1 bảng token cóa Patient</t>
  </si>
  <si>
    <t>1. Hệ thống bảo một thông tin ca khám giờa các người dùng chéo vai trả._x000D_
Ràng buộc kiểm thử:_x000D_
• Mã phản hồi phải là 403 Forbidden</t>
  </si>
  <si>
    <t>DOC-APPT-005</t>
  </si>
  <si>
    <t>[PUT] Xác nhân lịch hẹn</t>
  </si>
  <si>
    <t>1. Gửi request [PUT] phê duyệt ca hẹn cóa khách hàng tại endpoint: /api/doctor/appointments/{id}/confirm</t>
  </si>
  <si>
    <t>1. Hệ thống đổi trạng thái ca hẹn này thành CONFIRMED thành công._x000D_
Ràng buộc kiểm thử:_x000D_
• Mã phản hồi phải là 200 OK</t>
  </si>
  <si>
    <t>DOC-APPT-006</t>
  </si>
  <si>
    <t>[PUT] Đã hoàn thành</t>
  </si>
  <si>
    <t>1. Gửi request [PUT] tiếp từc xác nhân một ca đặt lịch đã hoàn tất quy trảnh khám: /api/doctor/appointments/{id}/confirm</t>
  </si>
  <si>
    <t>1. Hệ thống chặn do ca khám đã đóng trạng thái, không thị xác nhân lỗi._x000D_
Ràng buộc kiểm thử:_x000D_
• Mã phản hồi phải là 400 Bad Request</t>
  </si>
  <si>
    <t>DOC-APPT-007</t>
  </si>
  <si>
    <t>[POST] Hủy lịch hẹn</t>
  </si>
  <si>
    <t>1. Gửi request [POST] thông báo hủy ca khám vềi người bệnh tại endpoint: /api/doctor/appointments/{id}/cancel_x000D_
2. Request Body raw:_x000D_
{"cancellationReason":"Bác số bản"}</t>
  </si>
  <si>
    <t>1. Hủy ca khám từ phía bác sĩ và lưu lệ do thành công._x000D_
Ràng buộc kiểm thử:_x000D_
• Mã phản hồi phải là 200 OK</t>
  </si>
  <si>
    <t>DOC-TREAT-001</t>
  </si>
  <si>
    <t>1. Gửi request [GET] tại endpoint quản lý bệnh án: /api/doctor/treatments</t>
  </si>
  <si>
    <t>1. Trả ra danh sách lịch số điều trị mà bác sĩ này đã lặp cho các người bệnh._x000D_
Ràng buộc kiểm thử:_x000D_
• Mã phản hồi phải là 200 OK_x000D_
• Danh sách trả về định dng chuẩn List&lt;TreatmentResponse&gt;</t>
  </si>
  <si>
    <t>DOC-TREAT-002</t>
  </si>
  <si>
    <t>1. Gửi request [GET] tại thông tin chi tiết một ca bệnh án có thị tại endpoint: /api/doctor/treatments/{id}</t>
  </si>
  <si>
    <t>1. Trả về thông tin chẩn đoán, thuộc kê chi tiết cóa ca bệnh án đó._x000D_
Ràng buộc kiểm thử:_x000D_
• Mã phản hồi phải là 200 OK</t>
  </si>
  <si>
    <t>DOC-TREAT-003</t>
  </si>
  <si>
    <t>[POST] Tạo điều trị</t>
  </si>
  <si>
    <t>1. Gửi request [POST] khởi tạo thông tin bệnh án đơn thuốc tại endpoint: /api/doctor/treatments_x000D_
2. Request Body raw:_x000D_
{"appointmentId":1,"patientId":1,"diagnosis":"Cảm cúm","treatmentNotes":"Nghỉ ngơi"}</t>
  </si>
  <si>
    <t>1. Lưu thông tin phác đồ điều trị cóa ca khám hoàn tất vào DB thành công._x000D_
Ràng buộc kiểm thử:_x000D_
• Mã phản hồi phải là 201 Created</t>
  </si>
  <si>
    <t>DOC-TREAT-004</t>
  </si>
  <si>
    <t>[POST] Thiếu patientId</t>
  </si>
  <si>
    <t>1. Gửi request [POST] khởi tạo thông tin thiếu tham số tại endpoint: /api/doctor/treatments_x000D_
2. Request Body raw:_x000D_
{"appointmentId":1}</t>
  </si>
  <si>
    <t>1. Hệ thông báo lỗi dữ liệu nhợp bắt buộc đã liên kết bệnh án._x000D_
Ràng buộc kiểm thử:_x000D_
• Mã phản hồi phải là 400 Bad Request_x000D_
• Chi tiết lỗi: "Patient ID is required"</t>
  </si>
  <si>
    <t>DOC-TREAT-005</t>
  </si>
  <si>
    <t>[PUT] Cập nhật điều trị</t>
  </si>
  <si>
    <t>1. Gửi request [PUT] chỉnh sửa thông tin phác đồ điều trị tại endpoint: /api/doctor/treatments/{id}_x000D_
2. Request Body raw:_x000D_
{"diagnosis":"Cập nhật chẩn đoán"}</t>
  </si>
  <si>
    <t>1. Hệ thống thay đổi nội dung chẩn đoán bệnh án thành công._x000D_
Ràng buộc kiểm thử:_x000D_
• Mã phản hồi phải là 200 OK</t>
  </si>
  <si>
    <t>DOC-TREAT-006</t>
  </si>
  <si>
    <t>[PUT] Không thuộc bác sĩ</t>
  </si>
  <si>
    <t>1. Gửi request [PUT] chỉnh sửa bệnh án cóa một bác sĩ khác lặp tại endpoint: /api/doctor/treatments/1_x000D_
2. Request Body raw:_x000D_
{"diagnosis":"Test"}</t>
  </si>
  <si>
    <t>1. Ngăn chặn quyền chỉnh sửa chéo bệnh án giờa các bác sĩ không phụ trách._x000D_
Ràng buộc kiểm thử:_x000D_
• Mã phản hồi phải là 403 Forbidden</t>
  </si>
  <si>
    <t>DOC-TREAT-007</t>
  </si>
  <si>
    <t>[DELETE] Xóa điều trị</t>
  </si>
  <si>
    <t>1. Gửi request [DELETE] hủy bản ghi bệnh án điều trị tại endpoint: /api/doctor/treatments/{id}</t>
  </si>
  <si>
    <t>1. Gỡ bỏ thông tin bản ghi bệnh án thành công khởi hệ thống._x000D_
Ràng buộc kiểm thử:_x000D_
• Mã phản hồi phải là 204 No Content</t>
  </si>
  <si>
    <t>DOC-PAT-001</t>
  </si>
  <si>
    <t>[GET] Tìm kiếm bệnh nhân</t>
  </si>
  <si>
    <t>1. Gửi request [GET] tìm bệnh nhân trảc thuộc bác sĩ phụ trách: /api/doctor/patientsốsearch=tên</t>
  </si>
  <si>
    <t>1. Trả về thông tin danh sách tóm tất các bệnh nhân khớp từ khóa._x000D_
Ràng buộc kiểm thử:_x000D_
• Mã phản hồi phải là 200 OK_x000D_
• Kiểu cấu trúc mảng dữ liệu List&lt;PatientResponse&gt;</t>
  </si>
  <si>
    <t>DOC-PAT-002</t>
  </si>
  <si>
    <t>[GET] Chi tiết bệnh nhân</t>
  </si>
  <si>
    <t>1. Gửi request [GET] xem thông tin hành chính chi tiết người bệnh tại endpoint: /api/doctor/patients/{id}</t>
  </si>
  <si>
    <t>1. Trả ra thông tin cá nhân cơ bản cóa bệnh nhân chỉ định đã tiền liên hệ khám._x000D_
Ràng buộc kiểm thử:_x000D_
• Mã phản hồi phải là 200 OK</t>
  </si>
  <si>
    <t>DOC-PAT-003</t>
  </si>
  <si>
    <t>[GET] Lọch số điều trị</t>
  </si>
  <si>
    <t>1. Gửi request [GET] xem hồ sơ bệnh án có cóa người bệnh tại endpoint: /api/doctor/patients/{id}/treatments</t>
  </si>
  <si>
    <t>1. Phần hồi đầy đã các ca điều trị trước đây cóa người bệnh này đã bác sĩ xem bệnh số._x000D_
Ràng buộc kiểm thử:_x000D_
• Mã phản hồi phải là 200 OK</t>
  </si>
  <si>
    <t>DOC-MED-001</t>
  </si>
  <si>
    <t>[GET] Tìm kiếm thuộc</t>
  </si>
  <si>
    <t>1. Gửi request [GET] tra cấu kho thuộc bệnh viẩn: /api/doctor/medicationsốsearch=paracetamol</t>
  </si>
  <si>
    <t>1. Hệ thống tìm và hiển thị danh mục các loại thuộc có sốn khớp tên từ khóa._x000D_
Ràng buộc kiểm thử:_x000D_
• Mã phản hồi phải là 200 OK_x000D_
• Kết qu? trả về cấu trúc mảng định dng List&lt;Medication&gt;</t>
  </si>
  <si>
    <t>DOC-MED-002</t>
  </si>
  <si>
    <t>[GET] Top thuộc phụ biến</t>
  </si>
  <si>
    <t>1. Gửi request [GET] danh mục mục định tại endpoint: /api/doctor/medications</t>
  </si>
  <si>
    <t>1. Trả ra danh sách thuộc thông dng mục định hệ thống thi?t lặp khi không có query search._x000D_
Ràng buộc kiểm thử:_x000D_
• Mã phản hồi phải là 200 OK_x000D_
• Sự lượng mục định trả về hiển thị chuẩn 5 bản ghi kết quả</t>
  </si>
  <si>
    <t>DOC-MED-003</t>
  </si>
  <si>
    <t>[GET] Giải hẹn kết quả</t>
  </si>
  <si>
    <t>1. Gửi request [GET] giời hẹn số bản ghi lấy ra: /api/doctor/medicationsốlimit=10</t>
  </si>
  <si>
    <t>1. Trả ra danh sách thuộc vềi sử dụng quy định có thị._x000D_
Ràng buộc kiểm thử:_x000D_
• Mã phản hồi phải là 200 OK_x000D_
• Phần hồi đúng 10 dng kết quả tương ng tham số</t>
  </si>
  <si>
    <t>DOC-FB-001</t>
  </si>
  <si>
    <t>[GET] Lấy feedback</t>
  </si>
  <si>
    <t>1. Gửi request [GET] xem đánh giá cóa người bệnh gửi cho mình tại endpoint: /api/doctor/feedbacks</t>
  </si>
  <si>
    <t>1. Hiển thị toàn bỏ các nhân xét, điểm sao cóa bệnh nhân dành riêng cho bác sĩ này._x000D_
Ràng buộc kiểm thử:_x000D_
• Mã phản hồi phải là 200 OK</t>
  </si>
  <si>
    <t>DOC-FB-002</t>
  </si>
  <si>
    <t>[GET] Lọc theo rating</t>
  </si>
  <si>
    <t>1. Gửi request [GET] lọc đánh giá theo số sao có thử: /api/doctor/feedbacks/rating/{rating}</t>
  </si>
  <si>
    <t>1. Hiển thị danh sách đánh giá lọc đúng theo tiêu chí điểm số (ví dữ: lọc các ca 1 sao, 5 sao)._x000D_
Ràng buộc kiểm thử:_x000D_
• Mã phản hồi phải là 200 OK</t>
  </si>
  <si>
    <t>DOC-FB-003</t>
  </si>
  <si>
    <t>1. Gửi request [GET] xem chi tiết phản hồi cóa ca bệnh tại endpoint: /api/doctor/feedbacks/{id}</t>
  </si>
  <si>
    <t>1. Xem nội dung phản ánh chi tiết từ một bệnh nhân có thị._x000D_
Ràng buộc kiểm thử:_x000D_
• Mã phản hồi phải là 200 OK</t>
  </si>
  <si>
    <t>DOC-FB-004</t>
  </si>
  <si>
    <t>[POST] Trả lời feedback</t>
  </si>
  <si>
    <t>1. Gửi request [POST] phản hồi bệnh luận cóa người bệnh tại endpoint: /api/doctor/feedbacks/{id}/reply_x000D_
2. Request Body raw:_x000D_
{"reply":"Cảm ơn đã phản hồi"}</t>
  </si>
  <si>
    <t>1. Hệ thống lưu nội dung phản hồi, trao đổi phản hồi cóa bác sĩ vềi bệnh nhân._x000D_
Ràng buộc kiểm thử:_x000D_
• Mã phản hồi phải là 200 OK</t>
  </si>
  <si>
    <t>DOC-FB-005</t>
  </si>
  <si>
    <t>[PUT] Cập nhật reply</t>
  </si>
  <si>
    <t>1. Gửi request [PUT] sửa lại nội dung đã phản hồi tại endpoint: /api/doctor/feedbacks/{id}/reply_x000D_
2. Request Body raw:_x000D_
{"reply":"Cập nhật phản hồi"}</t>
  </si>
  <si>
    <t>1. Thay đổi nội dung lời nhắn phản hồi cóa bác sĩ thành công._x000D_
Ràng buộc kiểm thử:_x000D_
• Mã phản hồi phải là 200 OK</t>
  </si>
  <si>
    <t>DOC-FB-006</t>
  </si>
  <si>
    <t>[GET] Điểm rating TB</t>
  </si>
  <si>
    <t>1. Gửi request [GET] thông kê điểm uy tín tại endpoint: /api/doctor/average-rating</t>
  </si>
  <si>
    <t>1. Tính toán tầng số sao và trả ra điểm số trung bệnh tích lấy cóa bác sĩ trên hệ thống._x000D_
Ràng buộc kiểm thử:_x000D_
• Mã phản hồi phải là 200 OK_x000D_
• Kiểu dữ liệu trả về là dng số thực Double</t>
  </si>
  <si>
    <t>ADM-DOC-001</t>
  </si>
  <si>
    <t>[GET] Lấy tất cả bác sĩ</t>
  </si>
  <si>
    <t>Admin</t>
  </si>
  <si>
    <t>1. Gửi request [GET] vềi Token phân hệ Admin tại endpoint: /api/admin/doctors</t>
  </si>
  <si>
    <t>1. Trả về toàn bỏ danh sách bác sĩ trên toàn bỏ hệ thống (gồm có ACTIVE và INACTIVE)._x000D_
Ràng buộc kiểm thử:_x000D_
• Mã phản hồi phải là 200 OK_x000D_
• Định dng dữ liệu chuẩn List&lt;DoctorResponse&gt;</t>
  </si>
  <si>
    <t>ADM-DOC-002</t>
  </si>
  <si>
    <t>[GET] Tìm kiếm</t>
  </si>
  <si>
    <t>1. Gửi request [GET] tra cấu nhanh thông tin nhân số bác sĩ: /api/admin/doctorsốsearch=bac si A</t>
  </si>
  <si>
    <t>1. Trả về danh sách lọc đúng theo tên bác sĩ quản trả tìm kiểm._x000D_
Ràng buộc kiểm thử:_x000D_
• Mã phản hồi phải là 200 OK</t>
  </si>
  <si>
    <t>ADM-DOC-003</t>
  </si>
  <si>
    <t>[GET] Chi tiết bác sĩ</t>
  </si>
  <si>
    <t>1. Gửi request [GET] xem toàn bỏ thông tin chi tiết một bác sĩ: /api/admin/doctors/{id}</t>
  </si>
  <si>
    <t>1. Hiển thị thông tin quản trả chi tiết cóa tài khoản bác sĩ được chặn._x000D_
Ràng buộc kiểm thử:_x000D_
• Mã phản hồi phải là 200 OK</t>
  </si>
  <si>
    <t>ADM-DOC-004</t>
  </si>
  <si>
    <t>[POST] Tạo bác sĩ</t>
  </si>
  <si>
    <t>1. Gửi request [POST] khởi tạo tài khoản nhân sự bác sĩ mới: /api/admin/doctors_x000D_
2. Request Body raw:_x000D_
{"username":"doctor_new","email":"doctor_new@hospital.com","password":"Password123!","fullName":"BS. Mới","specialization":"Nội khoa","experience":5}</t>
  </si>
  <si>
    <t>1. Hệ thống tạo tài khoản phân vai Doctor mới thành công._x000D_
Ràng buộc kiểm thử:_x000D_
• Mã phản hồi phải là 201 Created</t>
  </si>
  <si>
    <t>ADM-DOC-005</t>
  </si>
  <si>
    <t>[POST] Thiếu specialization</t>
  </si>
  <si>
    <t>1. Gửi request [POST] tạo tài khoản bác sĩ thiếu thông tin chuyên khoa bắt buộc tại endpoint: /api/admin/doctors_x000D_
2. Request Body raw:_x000D_
{"username":"doc_new2","email":"doc_new2@hospital.com","password":"Pass123!","fullName":"BS. Mới 2"}</t>
  </si>
  <si>
    <t>1. Hệ thống kiểm tra và chặn do thiếu thông tin nghi?p về y khoa bắt buộc._x000D_
Ràng buộc kiểm thử:_x000D_
• Mã phản hồi phải là 400 Bad Request</t>
  </si>
  <si>
    <t>ADM-DOC-006</t>
  </si>
  <si>
    <t>[POST] Email trùng</t>
  </si>
  <si>
    <t>1. Gửi request [POST] tạo tài khoản bác sĩ sử dụng email đã đăng ký từ trước tại endpoint: /api/admin/doctors_x000D_
2. Request Body raw:_x000D_
{"username":"doc_new3","email":"doctor_new@hospital.com","password":"Pass123!","fullName":"BS. Mới 3","specialization":"Ngoai khoa","experience":5}</t>
  </si>
  <si>
    <t>1. Ngăn chặn trùng lặp tài khoản trên hệ thống dữ liệu._x000D_
Ràng buộc kiểm thử:_x000D_
• Mã phản hồi phải là 400 Bad Request</t>
  </si>
  <si>
    <t>ADM-DOC-007</t>
  </si>
  <si>
    <t>[PUT] Cập nhật bác sĩ</t>
  </si>
  <si>
    <t>1. Gửi request [PUT] chỉnh sửa thông tin nhân sự bác sĩ tại endpoint: /api/admin/doctors/{id}_x000D_
2. Request Body raw:_x000D_
{"fullName":"Tên mới","specialization":"Ngoại khoa"}</t>
  </si>
  <si>
    <t>1. Lưu chỉnh sửa thông tin nhân lọc thành công._x000D_
Ràng buộc kiểm thử:_x000D_
• Mã phản hồi phải là 200 OK</t>
  </si>
  <si>
    <t>ADM-DOC-008</t>
  </si>
  <si>
    <t>[DELETE] Xóa bác sĩ</t>
  </si>
  <si>
    <t>1. Gửi request [DELETE] gỡ bỏ tài khoản bác sĩ tại endpoint: /api/admin/doctors/{id}</t>
  </si>
  <si>
    <t>1. Bản ghi tài khoản bác sĩ được xóa hoàn toàn hoặc vô hiệu hóa._x000D_
Ràng buộc kiểm thử:_x000D_
• Mã phản hồi phải là 204 No Content</t>
  </si>
  <si>
    <t>ADM-PAT-001</t>
  </si>
  <si>
    <t>[GET] Lấy tất cả bệnh nhân</t>
  </si>
  <si>
    <t>1. Gửi request [GET] quản lý danh sách tại endpoint: /api/admin/patients</t>
  </si>
  <si>
    <t>1. Hiển thị thông tin toàn bỏ danh sách các bệnh nhân đăng kỳ sử dụng app._x000D_
Ràng buộc kiểm thử:_x000D_
• Mã phản hồi phải là 200 OK</t>
  </si>
  <si>
    <t>ADM-PAT-002</t>
  </si>
  <si>
    <t>1. Gửi request [GET] tìm hồ sơ người bệnh: /api/admin/patientsốsearch=nguyen</t>
  </si>
  <si>
    <t>1. Danh sách hiển thị đúng tập khách hàng/bệnh nhân có tên chứa từ khóa tìm kiểm._x000D_
Ràng buộc kiểm thử:_x000D_
• Mã phản hồi phải là 200 OK</t>
  </si>
  <si>
    <t>ADM-PAT-003</t>
  </si>
  <si>
    <t>1. Gửi request [GET] xem thông tin chi tiết người bệnh tại endpoint: /api/admin/patients/{id}</t>
  </si>
  <si>
    <t>1. Trả về thông tin quản trả tài khoản đầy đã cóa người bệnh đó._x000D_
Ràng buộc kiểm thử:_x000D_
• Mã phản hồi phải là 200 OK</t>
  </si>
  <si>
    <t>ADM-PAT-004</t>
  </si>
  <si>
    <t>[POST] Tạo bệnh nhân</t>
  </si>
  <si>
    <t>1. Gửi request [POST] tạo thị công hồ sơ bệnh nhân từ CMS tại endpoint: /api/admin/patients_x000D_
2. Request Body raw:_x000D_
{"email":"patient_new@email.com","fullName":"Bệnh nhân mới"}</t>
  </si>
  <si>
    <t>1. Hệ thống cấp tài khoản bệnh nhân thị công thành công._x000D_
Ràng buộc kiểm thử:_x000D_
• Mã phản hồi phải là 201 Created</t>
  </si>
  <si>
    <t>ADM-PAT-005</t>
  </si>
  <si>
    <t>[PUT] Cập nhật bệnh nhân</t>
  </si>
  <si>
    <t>1. Gửi request [PUT] sửa hồ sơ bệnh nhân từ CMS tại endpoint: /api/admin/patients/{id}_x000D_
2. Request Body raw:_x000D_
{"fullName":"Tên mới"}</t>
  </si>
  <si>
    <t>1. Lưu chỉnh sửa thông tin hành chính bệnh nhân thành công._x000D_
Ràng buộc kiểm thử:_x000D_
• Mã phản hồi phải là 200 OK</t>
  </si>
  <si>
    <t>ADM-PAT-006</t>
  </si>
  <si>
    <t>[DELETE] Xóa bệnh nhân</t>
  </si>
  <si>
    <t>1. Gửi request [DELETE] gỡ hồ sơ người bệnh tại endpoint: /api/admin/patients/{id}</t>
  </si>
  <si>
    <t>1. Xóa thành công bản ghi thông tin bệnh nhân._x000D_
Ràng buộc kiểm thử:_x000D_
• Mã phản hồi phải là 204 No Content</t>
  </si>
  <si>
    <t>ADM-APPT-001</t>
  </si>
  <si>
    <t>[GET] Lấy tất cả lịch hẹn</t>
  </si>
  <si>
    <t>1. Gửi request [GET] quản lý vận hành tổng thể tại endpoint: /api/admin/appointments</t>
  </si>
  <si>
    <t>1. Trả về toàn bỏ các ca hẹn khám trên toàn hệ thống phòng khám._x000D_
Ràng buộc kiểm thử:_x000D_
• Mã phản hồi phải là 200 OK</t>
  </si>
  <si>
    <t>ADM-APPT-002</t>
  </si>
  <si>
    <t>1. Gửi request [GET] giám sát lịch điều phối theo ngày: /api/admin/appointmentsốdate=2026-06-20</t>
  </si>
  <si>
    <t>1. Trả về chính xác các lịch hẹn đăng kỳ vào ngày được filter._x000D_
Ràng buộc kiểm thử:_x000D_
• Mã phản hồi phải là 200 OK</t>
  </si>
  <si>
    <t>ADM-APPT-003</t>
  </si>
  <si>
    <t>1. Gửi request [GET] xem thông tin chi tiết ca đặt lịch tại endpoint: /api/admin/appointments/{id}</t>
  </si>
  <si>
    <t>1. Hiển thị thông tin đối soát chi tiết mở ca hẹn, bác sĩ phụ trách và bệnh nhân khám._x000D_
Ràng buộc kiểm thử:_x000D_
• Mã phản hồi phải là 200 OK</t>
  </si>
  <si>
    <t>ADM-APPT-004</t>
  </si>
  <si>
    <t>[PUT] Cập nhật lịch hẹn</t>
  </si>
  <si>
    <t>1. Gửi request [PUT] điều phải/thay đổi giờ hẹn cho khách hàng từ CMS tại endpoint: /api/admin/appointments/{id}_x000D_
2. Request Body raw:_x000D_
{"appointmentTime":"14:00"}</t>
  </si>
  <si>
    <t>1. Hệ thống lưu cóp nhật thay đổi khung giờ ca hẹn thành công._x000D_
Ràng buộc kiểm thử:_x000D_
• Mã phản hồi phải là 200 OK</t>
  </si>
  <si>
    <t>ADM-APPT-005</t>
  </si>
  <si>
    <t>1. Gửi request [POST] cưỡng chế hủy lịch do sự cố hệ thống tại endpoint: /api/admin/appointments/{id}/cancel_x000D_
2. Request Body raw:_x000D_
{"cancellationReason":"Admin hủy"}</t>
  </si>
  <si>
    <t>1. Trỗng thái ca hẹn chuyển đổi thành CANCELLED thành công từ phía admin._x000D_
Ràng buộc kiểm thử:_x000D_
• Mã phản hồi phải là 200 OK</t>
  </si>
  <si>
    <t>ADM-APPT-006</t>
  </si>
  <si>
    <t>[DELETE] Xóa lịch hẹn</t>
  </si>
  <si>
    <t>1. Gửi request [DELETE] gỡ bỏ vĩnh viễn log đặt lịch tại endpoint: /api/admin/appointments/{id}</t>
  </si>
  <si>
    <t>1. Xóa thành công bản ghi đặt lịch ra khởi DB._x000D_
Ràng buộc kiểm thử:_x000D_
• Mã phản hồi phải là 204 No Content</t>
  </si>
  <si>
    <t>ADM-FB-001</t>
  </si>
  <si>
    <t>[GET] Lấy tất cả feedback</t>
  </si>
  <si>
    <t>1. Gửi request [GET] kiểm duyệt nội dung tại endpoint: /api/admin/feedbacks</t>
  </si>
  <si>
    <t>1. Hiển thị toàn bỏ các đánh giá dịch vụ cóa khách hàng trên hệ thống._x000D_
Ràng buộc kiểm thử:_x000D_
• Mã phản hồi phải là 200 OK</t>
  </si>
  <si>
    <t>ADM-FB-002</t>
  </si>
  <si>
    <t>[GET] Lọc theo status</t>
  </si>
  <si>
    <t>1. Gửi request [GET] xem danh sách duyệt: /api/admin/feedbacksốstatus=VISIBLE</t>
  </si>
  <si>
    <t>1. Hiển thị đúng danh mục các đánh giá ? trạng thái hiển thị công khai._x000D_
Ràng buộc kiểm thử:_x000D_
• Mã phản hồi phải là 200 OK</t>
  </si>
  <si>
    <t>ADM-FB-003</t>
  </si>
  <si>
    <t>[GET] Theo bác sĩ</t>
  </si>
  <si>
    <t>1. Gửi request [GET] lọc kiểm tra chất lượng theo nhân số bác sĩ: /api/admin/feedbacks/doctor/{doctorId}</t>
  </si>
  <si>
    <t>1. Trả ra toàn bỏ các review liên quan tại bác sĩ được chỉ định._x000D_
Ràng buộc kiểm thử:_x000D_
• Mã phản hồi phải là 200 OK</t>
  </si>
  <si>
    <t>ADM-FB-004</t>
  </si>
  <si>
    <t>[GET] Theo bệnh nhân</t>
  </si>
  <si>
    <t>1. Gửi request [GET] kiểm tra các phản hồi cóa một bệnh nhân: /api/admin/feedbacks/patient/{patientId}</t>
  </si>
  <si>
    <t>1. Hiển thị lịch số vi?t đánh giá cóa tài khoản bệnh nhân mục tiêu._x000D_
Ràng buộc kiểm thử:_x000D_
• Mã phản hồi phải là 200 OK</t>
  </si>
  <si>
    <t>ADM-FB-005</t>
  </si>
  <si>
    <t>1. Gửi request [GET] xem chi tiết một đánh giá có thị tại endpoint: /api/admin/feedbacks/{id}</t>
  </si>
  <si>
    <t>1. Phần hồi đầy đã thông tin nội dung văn bản review gốc cóa khách._x000D_
Ràng buộc kiểm thử:_x000D_
• Mã phản hồi phải là 200 OK</t>
  </si>
  <si>
    <t>ADM-FB-006</t>
  </si>
  <si>
    <t>[PUT] ẩn feedback</t>
  </si>
  <si>
    <t>1. Gửi request [PUT] ẩn bệnh luận tiêu cực/nhạy cảm tại endpoint: /api/admin/feedbacks/{id}/hide</t>
  </si>
  <si>
    <t>1. Chuyẩn trạng thái review sang HIDDEN và ẩn khởi giao diễn phía app di động người dùng công khai._x000D_
Ràng buộc kiểm thử:_x000D_
• Mã phản hồi phải là 200 OK</t>
  </si>
  <si>
    <t>ADM-FB-007</t>
  </si>
  <si>
    <t>[PUT] Hiển lỗi feedback</t>
  </si>
  <si>
    <t>1. Gửi request [PUT] bỏ ẩn bệnh luận tại endpoint: /api/admin/feedbacks/{id}/unhide</t>
  </si>
  <si>
    <t>1. Khôi phục trạng thái hiển thị cóa review trả về bệnh thường._x000D_
Ràng buộc kiểm thử:_x000D_
• Mã phản hồi phải là 200 OK</t>
  </si>
  <si>
    <t>ADM-USER-001</t>
  </si>
  <si>
    <t>[GET] Lấy tất cả users</t>
  </si>
  <si>
    <t>1. Gửi request [GET] trên hệ thống danh mục user tại endpoint: /api/admin/users</t>
  </si>
  <si>
    <t>1. Trả ra danh sách toàn bỏ các tài khoản định danh trên hệ thống không phân biết vai trả._x000D_
Ràng buộc kiểm thử:_x000D_
• Mã phản hồi phải là 200 OK</t>
  </si>
  <si>
    <t>ADM-USER-002</t>
  </si>
  <si>
    <t>1. Gửi request [GET] tra cấu tài khoản: /api/admin/usersốsearch=admin</t>
  </si>
  <si>
    <t>1. Lọc và hiển thị danh sách các tài khoản chứa kỳ từ tìm kiểm hợp lệ._x000D_
Ràng buộc kiểm thử:_x000D_
• Mã phản hồi phải là 200 OK</t>
  </si>
  <si>
    <t>ADM-USER-003</t>
  </si>
  <si>
    <t>[GET] Chi tiết user</t>
  </si>
  <si>
    <t>1. Gửi request [GET] xem tài khoản chi tiết tại endpoint: /api/admin/users/{id}</t>
  </si>
  <si>
    <t>1. Trả về thông tin chi tiết hệ thống, log hoạt động cóa user đích._x000D_
Ràng buộc kiểm thử:_x000D_
• Mã phản hồi phải là 200 OK</t>
  </si>
  <si>
    <t>ADM-USER-004</t>
  </si>
  <si>
    <t>[POST] Tạo user</t>
  </si>
  <si>
    <t>1. Gửi request [POST] cấp tài khoản hệ thống mới tại endpoint: /api/admin/users_x000D_
2. Request Body raw:_x000D_
{"username":"newuser","email":"new@email.com","password":"Pass123!","fullName":"New User","role":"PATIENT"}</t>
  </si>
  <si>
    <t>1. Tạo tài khoản người dùng theo vai trả chỉ định thành công._x000D_
Ràng buộc kiểm thử:_x000D_
• Mã phản hồi phải là 201 Created</t>
  </si>
  <si>
    <t>ADM-USER-005</t>
  </si>
  <si>
    <t>[PUT] Cập nhật user</t>
  </si>
  <si>
    <t>1. Gửi request [PUT] sửa thông tin tài khoản người dùng tại endpoint: /api/admin/users/{id}_x000D_
2. Request Body raw:_x000D_
{"fullName":"Tên mới"}</t>
  </si>
  <si>
    <t>1. Lưu thông tin chỉnh sửa cơ bản cóa tài khoản người dùng thành công._x000D_
Ràng buộc kiểm thử:_x000D_
• Mã phản hồi phải là 200 OK</t>
  </si>
  <si>
    <t>ADM-USER-006</t>
  </si>
  <si>
    <t>[DELETE] Xóa user có dữ liệu liên quan</t>
  </si>
  <si>
    <t>1. Gửi request [DELETE] xóa một tài khoản đã từng đặt lịch khám/tạo dữ liệu liên kết tại endpoint: /api/admin/users/{id}</t>
  </si>
  <si>
    <t>1. Hệ thống chặn xóa đã đảm bảo toàn vận dữ liệu quan hệ (Data Integrity)._x000D_
Ràng buộc kiểm thử:_x000D_
• Mã phản hồi phải là 409 Conflict_x000D_
• Chi tiết lỗi trả về: "Không thị xóa người dùng này về vận cần dữ liệu liên quan"</t>
  </si>
  <si>
    <t>ADM-USER-007</t>
  </si>
  <si>
    <t>[PATCH] Toggle trạng thái</t>
  </si>
  <si>
    <t>1. Gửi request [PATCH] khóa/mở khóa tài khoản tại endpoint: /api/admin/users/{id}/toggle-status</t>
  </si>
  <si>
    <t>1. Đổi trạng thái kích hoạt cóa user thành công (Kích hoạt sang Bộ khóa và ngược lại)._x000D_
Ràng buộc kiểm thử:_x000D_
• Mã phản hồi phải là 200 OK</t>
  </si>
  <si>
    <t>ADM-USER-008</t>
  </si>
  <si>
    <t>[PATCH] Đổi mật khẩu</t>
  </si>
  <si>
    <t>1. Gửi request [PATCH] cưỡng chỉ reset mật khẩu cho người dùng từ phía quản trả: /api/admin/users/{id}/change-password_x000D_
2. Request Body raw:_x000D_
{"newPassword":"NewPass456!"}</t>
  </si>
  <si>
    <t>1. Cập nhật chuỗi mật khẩu mở hóa mới cho tài khoản thành công._x000D_
Ràng buộc kiểm thử:_x000D_
• Mã phản hồi phải là 200 OK</t>
  </si>
  <si>
    <t>ADM-USER-009</t>
  </si>
  <si>
    <t>[GET] User không tồn tại</t>
  </si>
  <si>
    <t>1. Gửi request [GET] chi tiết tài khoản vềi mở không hợp lệ: /api/admin/users/99999</t>
  </si>
  <si>
    <t>1. Trả về không tìm thấy đối tượng người dùng._x000D_
Ràng buộc kiểm thử:_x000D_
• Mã phản hồi phải là 404 Not Found</t>
  </si>
  <si>
    <t>PUB-001</t>
  </si>
  <si>
    <t>[GET] Health check</t>
  </si>
  <si>
    <t>Public</t>
  </si>
  <si>
    <t>1. Gửi request [GET] kiểm tra trạng thái sng cóa dịch vụ tại endpoint công khai: /api/public/health</t>
  </si>
  <si>
    <t>1. Phần hồi xác nhân dịch vụ đang vận hành ẩn định._x000D_
Ràng buộc kiểm thử:_x000D_
• Mã phản hồi phải là 200 OK_x000D_
• Nội dung JSON trả về đúng chuẩn: {"status":"UP","message":"Service is running"}</t>
  </si>
  <si>
    <t>PUB-002</t>
  </si>
  <si>
    <t>[GET] Health check (có auth)</t>
  </si>
  <si>
    <t>1. Gửi request [GET] tại endpoint /api/public/health nhưng có ? truyền thêm Header chứa Token xác thực</t>
  </si>
  <si>
    <t>1. Hệ thống vận tiếp nhân xử lệ bệnh thường mà không thực hiển chặn hay kiểm tra token (Bỏ qua tầng filter auth)._x000D_
Ràng buộc kiểm thử:_x000D_
• Mã phản hồi phải là 200 OK</t>
  </si>
  <si>
    <t>Ngô Quốc Bảo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</si>
</sst>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mm\-yy"/>
    <numFmt numFmtId="165" formatCode="d/m/yyyy"/>
    <numFmt numFmtId="166" formatCode="yyyy/m/d"/>
    <numFmt numFmtId="167" formatCode="yyyy/mm/dd"/>
  </numFmts>
  <fonts count="36">
    <font>
      <sz val="10"/>
      <color rgb="FF000000"/>
      <name val="Arial"/>
      <scheme val="minor"/>
    </font>
    <font>
      <b/>
      <sz val="20"/>
      <color theme="1"/>
      <name val="Arial"/>
      <scheme val="minor"/>
    </font>
    <font>
      <sz val="10"/>
      <name val="Arial"/>
    </font>
    <font>
      <sz val="10"/>
      <color theme="1"/>
      <name val="Arial"/>
      <scheme val="minor"/>
    </font>
    <font>
      <b/>
      <sz val="10"/>
      <color theme="1"/>
      <name val="Arial"/>
      <scheme val="minor"/>
    </font>
    <font>
      <b/>
      <sz val="10"/>
      <color rgb="FFFFFFFF"/>
      <name val="Tahoma"/>
    </font>
    <font>
      <sz val="10"/>
      <color theme="1"/>
      <name val="Tahoma"/>
    </font>
    <font>
      <sz val="11"/>
      <color theme="1"/>
      <name val="MS PGothic"/>
    </font>
    <font>
      <b/>
      <sz val="10"/>
      <color rgb="FF980000"/>
      <name val="Arial"/>
    </font>
    <font>
      <b/>
      <sz val="10"/>
      <color theme="1"/>
      <name val="Tahoma"/>
    </font>
    <font>
      <sz val="10"/>
      <color rgb="FF434343"/>
      <name val="Tahoma"/>
    </font>
    <font>
      <b/>
      <sz val="20"/>
      <color theme="1"/>
      <name val="Tahoma"/>
    </font>
    <font>
      <b/>
      <sz val="10"/>
      <color rgb="FF993300"/>
      <name val="Tahoma"/>
    </font>
    <font>
      <i/>
      <sz val="10"/>
      <color theme="1"/>
      <name val="Tahoma"/>
    </font>
    <font>
      <sz val="10"/>
      <color theme="1"/>
      <name val="Arial"/>
    </font>
    <font>
      <sz val="10"/>
      <color rgb="FFFFFFFF"/>
      <name val="Tahoma"/>
    </font>
    <font>
      <b/>
      <sz val="10"/>
      <color rgb="FF0000FF"/>
      <name val="Tahoma"/>
    </font>
    <font>
      <b/>
      <i/>
      <sz val="10"/>
      <color theme="1"/>
      <name val="Tahoma"/>
    </font>
    <font>
      <sz val="10"/>
      <color rgb="FF000000"/>
      <name val="Tahoma"/>
    </font>
    <font>
      <sz val="10"/>
      <color theme="1"/>
      <name val="Arial"/>
      <family val="2"/>
    </font>
    <font>
      <sz val="10"/>
      <color theme="1"/>
      <name val="Tahoma"/>
      <family val="2"/>
    </font>
    <font>
      <sz val="11"/>
      <color theme="1"/>
      <name val="MS PGothic"/>
      <family val="2"/>
    </font>
    <font>
      <sz val="8"/>
      <name val="Arial"/>
      <family val="2"/>
      <scheme val="minor"/>
    </font>
    <font>
      <b/>
      <sz val="20"/>
      <color theme="1"/>
      <name val="Arial"/>
      <family val="2"/>
      <scheme val="minor"/>
    </font>
    <font>
      <sz val="10"/>
      <color theme="1"/>
      <name val="Arial"/>
      <family val="2"/>
      <scheme val="minor"/>
    </font>
    <font>
      <sz val="10"/>
      <color theme="1"/>
      <name val="Segoe UI"/>
      <family val="2"/>
    </font>
    <font>
      <sz val="9"/>
      <color theme="1"/>
      <name val="Consolas"/>
      <family val="3"/>
    </font>
    <font>
      <b/>
      <sz val="10"/>
      <color theme="1"/>
      <name val="Tahoma"/>
      <family val="2"/>
    </font>
    <font>
      <b/>
      <sz val="10"/>
      <color theme="1"/>
      <name val="Segoe UI"/>
      <family val="2"/>
    </font>
    <font>
      <i/>
      <sz val="10"/>
      <color theme="1"/>
      <name val="Tahoma"/>
      <family val="2"/>
    </font>
    <font>
      <b/>
      <sz val="10"/>
      <color theme="1"/>
      <name val="Arial"/>
      <family val="2"/>
      <scheme val="minor"/>
    </font>
    <font>
      <b/>
      <sz val="10"/>
      <color rgb="FFFFFFFF"/>
      <name val="Tahoma"/>
      <family val="2"/>
    </font>
    <font>
      <b/>
      <sz val="11"/>
      <color rgb="FFFFFFFF"/>
      <name val="Inter"/>
    </font>
    <font>
      <sz val="10"/>
      <name val="Inter"/>
    </font>
    <font>
      <b/>
      <sz val="10"/>
      <color rgb="FF2E7D32"/>
      <name val="Inter"/>
    </font>
    <font>
      <b/>
      <sz val="10"/>
      <color rgb="FF757575"/>
      <name val="Inter"/>
    </font>
  </fonts>
  <fills count="9">
    <fill>
      <patternFill patternType="none"/>
    </fill>
    <fill>
      <patternFill patternType="gray125"/>
    </fill>
    <fill>
      <patternFill patternType="solid">
        <fgColor rgb="FF000080"/>
        <bgColor rgb="FF000080"/>
      </patternFill>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rgb="FF0D1B2A"/>
      </patternFill>
    </fill>
    <fill>
      <patternFill patternType="solid">
        <fgColor rgb="FFE8F5E9"/>
      </patternFill>
    </fill>
    <fill>
      <patternFill patternType="solid">
        <fgColor rgb="FFF5F5F5"/>
      </patternFill>
    </fill>
  </fills>
  <borders count="4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01">
    <xf numFmtId="0" fontId="0" fillId="0" borderId="0" xfId="0"/>
    <xf numFmtId="0" fontId="3" fillId="0" borderId="0" xfId="0" applyFont="1"/>
    <xf numFmtId="0" fontId="4" fillId="0" borderId="4" xfId="0" applyFont="1" applyBorder="1"/>
    <xf numFmtId="0" fontId="3" fillId="0" borderId="4" xfId="0" applyFont="1" applyBorder="1"/>
    <xf numFmtId="14" fontId="3" fillId="0" borderId="4" xfId="0" applyNumberFormat="1" applyFont="1" applyBorder="1" applyAlignment="1">
      <alignment horizontal="left"/>
    </xf>
    <xf numFmtId="0" fontId="3" fillId="0" borderId="4" xfId="0" applyFont="1" applyBorder="1" applyAlignment="1">
      <alignment horizontal="left"/>
    </xf>
    <xf numFmtId="1" fontId="9" fillId="0" borderId="0" xfId="0" applyNumberFormat="1" applyFont="1" applyAlignment="1">
      <alignment horizontal="center" vertical="center"/>
    </xf>
    <xf numFmtId="0" fontId="9" fillId="0" borderId="0" xfId="0" applyFont="1" applyAlignment="1">
      <alignment horizontal="center" vertical="center"/>
    </xf>
    <xf numFmtId="1" fontId="10" fillId="3" borderId="4" xfId="0" applyNumberFormat="1" applyFont="1" applyFill="1" applyBorder="1" applyAlignment="1">
      <alignment horizontal="right" vertical="center"/>
    </xf>
    <xf numFmtId="0" fontId="7" fillId="3" borderId="4" xfId="0" applyFont="1" applyFill="1" applyBorder="1" applyAlignment="1">
      <alignment vertical="center"/>
    </xf>
    <xf numFmtId="0" fontId="7" fillId="3" borderId="6" xfId="0" applyFont="1" applyFill="1" applyBorder="1"/>
    <xf numFmtId="164" fontId="7" fillId="3" borderId="6" xfId="0" applyNumberFormat="1" applyFont="1" applyFill="1" applyBorder="1"/>
    <xf numFmtId="0" fontId="12" fillId="3" borderId="4" xfId="0" applyFont="1" applyFill="1" applyBorder="1"/>
    <xf numFmtId="0" fontId="7" fillId="3" borderId="10" xfId="0" applyFont="1" applyFill="1" applyBorder="1"/>
    <xf numFmtId="0" fontId="12" fillId="3" borderId="4" xfId="0" applyFont="1" applyFill="1" applyBorder="1" applyAlignment="1">
      <alignment vertical="center"/>
    </xf>
    <xf numFmtId="0" fontId="7" fillId="3" borderId="11" xfId="0" applyFont="1" applyFill="1" applyBorder="1"/>
    <xf numFmtId="164" fontId="7" fillId="3" borderId="11" xfId="0" applyNumberFormat="1" applyFont="1" applyFill="1" applyBorder="1"/>
    <xf numFmtId="0" fontId="7" fillId="3" borderId="12" xfId="0" applyFont="1" applyFill="1" applyBorder="1"/>
    <xf numFmtId="0" fontId="5" fillId="2" borderId="13" xfId="0" applyFont="1" applyFill="1" applyBorder="1" applyAlignment="1">
      <alignment horizontal="center"/>
    </xf>
    <xf numFmtId="0" fontId="5" fillId="2" borderId="14" xfId="0" applyFont="1" applyFill="1" applyBorder="1" applyAlignment="1">
      <alignment horizontal="center"/>
    </xf>
    <xf numFmtId="0" fontId="5" fillId="2" borderId="14" xfId="0" applyFont="1" applyFill="1" applyBorder="1" applyAlignment="1">
      <alignment horizontal="center" wrapText="1"/>
    </xf>
    <xf numFmtId="0" fontId="5" fillId="2" borderId="15" xfId="0" applyFont="1" applyFill="1" applyBorder="1" applyAlignment="1">
      <alignment horizontal="center"/>
    </xf>
    <xf numFmtId="0" fontId="5" fillId="2" borderId="16" xfId="0" applyFont="1" applyFill="1" applyBorder="1" applyAlignment="1">
      <alignment horizontal="center" wrapText="1"/>
    </xf>
    <xf numFmtId="0" fontId="7" fillId="3" borderId="7" xfId="0" applyFont="1" applyFill="1" applyBorder="1"/>
    <xf numFmtId="0" fontId="7" fillId="2" borderId="17" xfId="0" applyFont="1" applyFill="1" applyBorder="1"/>
    <xf numFmtId="0" fontId="5" fillId="2" borderId="18" xfId="0" applyFont="1" applyFill="1" applyBorder="1"/>
    <xf numFmtId="0" fontId="15" fillId="2" borderId="18" xfId="0" applyFont="1" applyFill="1" applyBorder="1" applyAlignment="1">
      <alignment horizontal="center"/>
    </xf>
    <xf numFmtId="0" fontId="15" fillId="2" borderId="19" xfId="0" applyFont="1" applyFill="1" applyBorder="1" applyAlignment="1">
      <alignment horizontal="center"/>
    </xf>
    <xf numFmtId="10" fontId="7" fillId="3" borderId="6" xfId="0" applyNumberFormat="1" applyFont="1" applyFill="1" applyBorder="1"/>
    <xf numFmtId="9" fontId="7" fillId="3" borderId="6" xfId="0" applyNumberFormat="1" applyFont="1" applyFill="1" applyBorder="1"/>
    <xf numFmtId="0" fontId="12" fillId="3" borderId="6" xfId="0" applyFont="1" applyFill="1" applyBorder="1"/>
    <xf numFmtId="2" fontId="16" fillId="3" borderId="6" xfId="0" applyNumberFormat="1" applyFont="1" applyFill="1" applyBorder="1" applyAlignment="1">
      <alignment horizontal="right" wrapText="1"/>
    </xf>
    <xf numFmtId="0" fontId="6" fillId="3" borderId="6" xfId="0" applyFont="1" applyFill="1" applyBorder="1"/>
    <xf numFmtId="0" fontId="9" fillId="3" borderId="20" xfId="0" applyFont="1" applyFill="1" applyBorder="1" applyAlignment="1">
      <alignment horizontal="center" vertical="top" wrapText="1"/>
    </xf>
    <xf numFmtId="0" fontId="9" fillId="3" borderId="24" xfId="0" applyFont="1" applyFill="1" applyBorder="1" applyAlignment="1">
      <alignment horizontal="center" vertical="top" wrapText="1"/>
    </xf>
    <xf numFmtId="0" fontId="17" fillId="3" borderId="24" xfId="0" applyFont="1" applyFill="1" applyBorder="1" applyAlignment="1">
      <alignment horizontal="center" vertical="top" wrapText="1"/>
    </xf>
    <xf numFmtId="0" fontId="17" fillId="3" borderId="4" xfId="0" applyFont="1" applyFill="1" applyBorder="1" applyAlignment="1">
      <alignment horizontal="center" vertical="top" wrapText="1"/>
    </xf>
    <xf numFmtId="0" fontId="17" fillId="3" borderId="26"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26" xfId="0" applyFont="1" applyFill="1" applyBorder="1" applyAlignment="1">
      <alignment horizontal="center" vertical="top" wrapText="1"/>
    </xf>
    <xf numFmtId="0" fontId="17" fillId="3" borderId="27" xfId="0" applyFont="1" applyFill="1" applyBorder="1" applyAlignment="1">
      <alignment horizontal="center" vertical="top" wrapText="1"/>
    </xf>
    <xf numFmtId="0" fontId="6" fillId="3" borderId="28" xfId="0" applyFont="1" applyFill="1" applyBorder="1" applyAlignment="1">
      <alignment horizontal="center" vertical="top" wrapText="1"/>
    </xf>
    <xf numFmtId="0" fontId="5" fillId="4" borderId="4" xfId="0" applyFont="1" applyFill="1" applyBorder="1" applyAlignment="1">
      <alignment horizontal="center" vertical="center" wrapText="1"/>
    </xf>
    <xf numFmtId="0" fontId="7" fillId="3" borderId="6" xfId="0" applyFont="1" applyFill="1" applyBorder="1" applyAlignment="1">
      <alignment vertical="center"/>
    </xf>
    <xf numFmtId="0" fontId="3" fillId="0" borderId="0" xfId="0" applyFont="1" applyAlignment="1">
      <alignment vertical="center"/>
    </xf>
    <xf numFmtId="0" fontId="4" fillId="5" borderId="0" xfId="0" applyFont="1" applyFill="1"/>
    <xf numFmtId="0" fontId="7" fillId="3" borderId="29" xfId="0" applyFont="1" applyFill="1" applyBorder="1"/>
    <xf numFmtId="0" fontId="3" fillId="0" borderId="0" xfId="0" applyFont="1" applyAlignment="1">
      <alignment horizontal="center" vertical="center"/>
    </xf>
    <xf numFmtId="0" fontId="7" fillId="3" borderId="6" xfId="0" applyFont="1" applyFill="1" applyBorder="1" applyAlignment="1">
      <alignment vertical="top"/>
    </xf>
    <xf numFmtId="0" fontId="6" fillId="3" borderId="0" xfId="0" applyFont="1" applyFill="1" applyAlignment="1">
      <alignment vertical="top" wrapText="1"/>
    </xf>
    <xf numFmtId="0" fontId="3" fillId="3" borderId="0" xfId="0" applyFont="1" applyFill="1"/>
    <xf numFmtId="0" fontId="14" fillId="3" borderId="0" xfId="0" applyFont="1" applyFill="1"/>
    <xf numFmtId="0" fontId="5" fillId="4" borderId="4" xfId="0" applyFont="1" applyFill="1" applyBorder="1" applyAlignment="1">
      <alignment horizontal="center" wrapText="1"/>
    </xf>
    <xf numFmtId="0" fontId="7" fillId="3" borderId="29" xfId="0" applyFont="1" applyFill="1" applyBorder="1" applyAlignment="1">
      <alignment vertical="top"/>
    </xf>
    <xf numFmtId="0" fontId="3" fillId="0" borderId="0" xfId="0" applyFont="1" applyAlignment="1">
      <alignment vertical="top"/>
    </xf>
    <xf numFmtId="0" fontId="5" fillId="4" borderId="5" xfId="0" applyFont="1" applyFill="1" applyBorder="1" applyAlignment="1">
      <alignment horizontal="center" vertical="top" wrapText="1"/>
    </xf>
    <xf numFmtId="0" fontId="14" fillId="3" borderId="0" xfId="0" applyFont="1" applyFill="1" applyAlignment="1">
      <alignment vertical="top"/>
    </xf>
    <xf numFmtId="167" fontId="3" fillId="3" borderId="0" xfId="0" applyNumberFormat="1" applyFont="1" applyFill="1"/>
    <xf numFmtId="167" fontId="14" fillId="3" borderId="0" xfId="0" applyNumberFormat="1" applyFont="1" applyFill="1"/>
    <xf numFmtId="167" fontId="14" fillId="3" borderId="0" xfId="0" applyNumberFormat="1" applyFont="1" applyFill="1" applyAlignment="1">
      <alignment vertical="top"/>
    </xf>
    <xf numFmtId="0" fontId="25" fillId="0" borderId="31" xfId="0" applyFont="1" applyBorder="1" applyAlignment="1">
      <alignment vertical="center" wrapText="1"/>
    </xf>
    <xf numFmtId="0" fontId="26" fillId="0" borderId="32" xfId="0" applyFont="1" applyBorder="1" applyAlignment="1">
      <alignment vertical="center" wrapText="1"/>
    </xf>
    <xf numFmtId="0" fontId="25" fillId="0" borderId="32" xfId="0" applyFont="1" applyBorder="1" applyAlignment="1">
      <alignment vertical="center" wrapText="1"/>
    </xf>
    <xf numFmtId="0" fontId="25" fillId="0" borderId="33" xfId="0" applyFont="1" applyBorder="1" applyAlignment="1">
      <alignment vertical="center" wrapText="1"/>
    </xf>
    <xf numFmtId="0" fontId="25" fillId="0" borderId="34" xfId="0" applyFont="1" applyBorder="1" applyAlignment="1">
      <alignment vertical="center" wrapText="1"/>
    </xf>
    <xf numFmtId="0" fontId="26" fillId="0" borderId="35" xfId="0" applyFont="1" applyBorder="1" applyAlignment="1">
      <alignment vertical="center" wrapText="1"/>
    </xf>
    <xf numFmtId="0" fontId="25" fillId="0" borderId="35" xfId="0" applyFont="1" applyBorder="1" applyAlignment="1">
      <alignment vertical="center" wrapText="1"/>
    </xf>
    <xf numFmtId="0" fontId="25" fillId="0" borderId="36" xfId="0" applyFont="1" applyBorder="1" applyAlignment="1">
      <alignment vertical="center" wrapText="1"/>
    </xf>
    <xf numFmtId="0" fontId="0" fillId="0" borderId="37" xfId="0" applyBorder="1"/>
    <xf numFmtId="0" fontId="26" fillId="0" borderId="33" xfId="0" applyFont="1" applyBorder="1" applyAlignment="1">
      <alignment vertical="center" wrapText="1"/>
    </xf>
    <xf numFmtId="1" fontId="10" fillId="3" borderId="29" xfId="0" applyNumberFormat="1" applyFont="1" applyFill="1" applyBorder="1" applyAlignment="1">
      <alignment horizontal="right" vertical="center"/>
    </xf>
    <xf numFmtId="0" fontId="0" fillId="0" borderId="29" xfId="0" applyBorder="1"/>
    <xf numFmtId="0" fontId="26" fillId="0" borderId="39" xfId="0" applyFont="1" applyBorder="1" applyAlignment="1">
      <alignment vertical="center" wrapText="1"/>
    </xf>
    <xf numFmtId="0" fontId="25" fillId="0" borderId="39" xfId="0" applyFont="1" applyBorder="1" applyAlignment="1">
      <alignment vertical="center" wrapText="1"/>
    </xf>
    <xf numFmtId="0" fontId="25" fillId="0" borderId="38" xfId="0" applyFont="1" applyBorder="1" applyAlignment="1">
      <alignment vertical="center" wrapText="1"/>
    </xf>
    <xf numFmtId="0" fontId="25" fillId="0" borderId="40" xfId="0" applyFont="1" applyBorder="1" applyAlignment="1">
      <alignment vertical="center" wrapText="1"/>
    </xf>
    <xf numFmtId="0" fontId="24" fillId="0" borderId="37" xfId="0" applyFont="1" applyBorder="1"/>
    <xf numFmtId="0" fontId="26" fillId="0" borderId="41" xfId="0" applyFont="1" applyBorder="1" applyAlignment="1">
      <alignment vertical="center" wrapText="1"/>
    </xf>
    <xf numFmtId="0" fontId="25" fillId="0" borderId="41" xfId="0" applyFont="1" applyBorder="1" applyAlignment="1">
      <alignment vertical="center" wrapText="1"/>
    </xf>
    <xf numFmtId="0" fontId="26" fillId="0" borderId="37" xfId="0" applyFont="1" applyBorder="1"/>
    <xf numFmtId="0" fontId="25" fillId="0" borderId="37" xfId="0" applyFont="1" applyBorder="1" applyAlignment="1">
      <alignment vertical="center" wrapText="1"/>
    </xf>
    <xf numFmtId="0" fontId="25" fillId="0" borderId="37" xfId="0" applyFont="1" applyBorder="1" applyAlignment="1">
      <alignment horizontal="center" vertical="center" wrapText="1"/>
    </xf>
    <xf numFmtId="0" fontId="28" fillId="0" borderId="37" xfId="0" applyFont="1" applyBorder="1" applyAlignment="1">
      <alignment vertical="center" wrapText="1"/>
    </xf>
    <xf numFmtId="0" fontId="30" fillId="5" borderId="29" xfId="0" applyFont="1" applyFill="1" applyBorder="1"/>
    <xf numFmtId="0" fontId="3" fillId="5" borderId="29" xfId="0" applyFont="1" applyFill="1" applyBorder="1"/>
    <xf numFmtId="0" fontId="3" fillId="5" borderId="29" xfId="0" applyFont="1" applyFill="1" applyBorder="1" applyAlignment="1">
      <alignment vertical="top"/>
    </xf>
    <xf numFmtId="0" fontId="7" fillId="5" borderId="29" xfId="0" applyFont="1" applyFill="1" applyBorder="1" applyAlignment="1">
      <alignment vertical="top"/>
    </xf>
    <xf numFmtId="0" fontId="7" fillId="5" borderId="42" xfId="0" applyFont="1" applyFill="1" applyBorder="1" applyAlignment="1">
      <alignment vertical="top"/>
    </xf>
    <xf numFmtId="0" fontId="4" fillId="5" borderId="29" xfId="0" applyFont="1" applyFill="1" applyBorder="1"/>
    <xf numFmtId="14" fontId="25" fillId="0" borderId="37" xfId="0" applyNumberFormat="1" applyFont="1" applyBorder="1" applyAlignment="1">
      <alignment vertical="center" wrapText="1"/>
    </xf>
    <xf numFmtId="14" fontId="25" fillId="0" borderId="29" xfId="0" applyNumberFormat="1" applyFont="1" applyBorder="1" applyAlignment="1">
      <alignment vertical="center" wrapText="1"/>
    </xf>
    <xf numFmtId="0" fontId="7" fillId="5" borderId="43" xfId="0" applyFont="1" applyFill="1" applyBorder="1" applyAlignment="1">
      <alignment horizontal="left" vertical="top"/>
    </xf>
    <xf numFmtId="0" fontId="4" fillId="5" borderId="43" xfId="0" applyFont="1" applyFill="1" applyBorder="1" applyAlignment="1">
      <alignment horizontal="left"/>
    </xf>
    <xf numFmtId="0" fontId="4" fillId="0" borderId="29" xfId="0" applyFont="1" applyBorder="1"/>
    <xf numFmtId="0" fontId="7" fillId="0" borderId="29" xfId="0" applyFont="1" applyBorder="1" applyAlignment="1">
      <alignment vertical="top"/>
    </xf>
    <xf numFmtId="0" fontId="4" fillId="0" borderId="29" xfId="0" applyFont="1" applyBorder="1" applyAlignment="1">
      <alignment horizontal="left"/>
    </xf>
    <xf numFmtId="0" fontId="3" fillId="0" borderId="29" xfId="0" applyFont="1" applyBorder="1" applyAlignment="1">
      <alignment vertical="top"/>
    </xf>
    <xf numFmtId="0" fontId="3" fillId="0" borderId="29" xfId="0" applyFont="1" applyBorder="1" applyAlignment="1">
      <alignment vertical="top" wrapText="1"/>
    </xf>
    <xf numFmtId="167" fontId="3" fillId="0" borderId="29" xfId="0" applyNumberFormat="1" applyFont="1" applyBorder="1" applyAlignment="1">
      <alignment vertical="top"/>
    </xf>
    <xf numFmtId="0" fontId="6" fillId="0" borderId="29" xfId="0" applyFont="1" applyBorder="1" applyAlignment="1">
      <alignment vertical="top" wrapText="1"/>
    </xf>
    <xf numFmtId="165" fontId="3" fillId="0" borderId="29" xfId="0" applyNumberFormat="1" applyFont="1" applyBorder="1" applyAlignment="1">
      <alignment vertical="top"/>
    </xf>
    <xf numFmtId="0" fontId="6" fillId="0" borderId="29" xfId="0" applyFont="1" applyBorder="1" applyAlignment="1">
      <alignment horizontal="left" vertical="top" wrapText="1"/>
    </xf>
    <xf numFmtId="0" fontId="14" fillId="0" borderId="29" xfId="0" applyFont="1" applyBorder="1"/>
    <xf numFmtId="166" fontId="6" fillId="0" borderId="29" xfId="0" applyNumberFormat="1" applyFont="1" applyBorder="1" applyAlignment="1">
      <alignment horizontal="right" vertical="top" wrapText="1"/>
    </xf>
    <xf numFmtId="0" fontId="5" fillId="4" borderId="37" xfId="0" applyFont="1" applyFill="1" applyBorder="1" applyAlignment="1">
      <alignment horizontal="center" vertical="center" wrapText="1"/>
    </xf>
    <xf numFmtId="0" fontId="31" fillId="4" borderId="37" xfId="0" applyFont="1" applyFill="1" applyBorder="1" applyAlignment="1">
      <alignment horizontal="center" vertical="center" wrapText="1"/>
    </xf>
    <xf numFmtId="0" fontId="7" fillId="3" borderId="37" xfId="0" applyFont="1" applyFill="1" applyBorder="1" applyAlignment="1">
      <alignment horizontal="center" vertical="center"/>
    </xf>
    <xf numFmtId="0" fontId="27" fillId="5" borderId="37" xfId="0" applyFont="1" applyFill="1" applyBorder="1" applyAlignment="1">
      <alignment wrapText="1"/>
    </xf>
    <xf numFmtId="0" fontId="7" fillId="3" borderId="37" xfId="0" applyFont="1" applyFill="1" applyBorder="1"/>
    <xf numFmtId="0" fontId="7" fillId="3" borderId="37" xfId="0" applyFont="1" applyFill="1" applyBorder="1" applyAlignment="1">
      <alignment vertical="top"/>
    </xf>
    <xf numFmtId="0" fontId="27" fillId="5" borderId="44" xfId="0" applyFont="1" applyFill="1" applyBorder="1" applyAlignment="1">
      <alignment wrapText="1"/>
    </xf>
    <xf numFmtId="0" fontId="0" fillId="0" borderId="44" xfId="0" applyBorder="1"/>
    <xf numFmtId="0" fontId="27" fillId="0" borderId="29" xfId="0" applyFont="1" applyBorder="1" applyAlignment="1">
      <alignment wrapText="1"/>
    </xf>
    <xf numFmtId="0" fontId="20" fillId="0" borderId="29" xfId="0" applyFont="1" applyBorder="1" applyAlignment="1">
      <alignment vertical="top" wrapText="1"/>
    </xf>
    <xf numFmtId="0" fontId="24" fillId="0" borderId="29" xfId="0" applyFont="1" applyBorder="1"/>
    <xf numFmtId="0" fontId="24" fillId="0" borderId="29" xfId="0" applyFont="1" applyBorder="1" applyAlignment="1">
      <alignment vertical="top" wrapText="1"/>
    </xf>
    <xf numFmtId="166" fontId="20" fillId="0" borderId="29" xfId="0" applyNumberFormat="1" applyFont="1" applyBorder="1" applyAlignment="1">
      <alignment horizontal="right" vertical="top" wrapText="1"/>
    </xf>
    <xf numFmtId="0" fontId="24" fillId="0" borderId="29" xfId="0" applyFont="1" applyBorder="1" applyAlignment="1">
      <alignment vertical="top"/>
    </xf>
    <xf numFmtId="0" fontId="19" fillId="0" borderId="29" xfId="0" applyFont="1" applyBorder="1" applyAlignment="1">
      <alignment vertical="top" wrapText="1"/>
    </xf>
    <xf numFmtId="0" fontId="21" fillId="0" borderId="29" xfId="0" applyFont="1" applyBorder="1"/>
    <xf numFmtId="0" fontId="9" fillId="3" borderId="37" xfId="0" applyFont="1" applyFill="1" applyBorder="1" applyAlignment="1">
      <alignment horizontal="center" vertical="top" wrapText="1"/>
    </xf>
    <xf numFmtId="0" fontId="6" fillId="3" borderId="37" xfId="0" applyFont="1" applyFill="1" applyBorder="1" applyAlignment="1">
      <alignment vertical="top" wrapText="1"/>
    </xf>
    <xf numFmtId="0" fontId="17" fillId="3" borderId="37" xfId="0" applyFont="1" applyFill="1" applyBorder="1" applyAlignment="1">
      <alignment horizontal="center" vertical="top" wrapText="1"/>
    </xf>
    <xf numFmtId="0" fontId="18" fillId="3" borderId="37" xfId="0" applyFont="1" applyFill="1" applyBorder="1" applyAlignment="1">
      <alignment horizontal="center" vertical="top" wrapText="1"/>
    </xf>
    <xf numFmtId="0" fontId="6" fillId="3" borderId="37" xfId="0" applyFont="1" applyFill="1" applyBorder="1" applyAlignment="1">
      <alignment horizontal="center" vertical="top" wrapText="1"/>
    </xf>
    <xf numFmtId="0" fontId="4" fillId="5" borderId="37" xfId="0" applyFont="1" applyFill="1" applyBorder="1"/>
    <xf numFmtId="0" fontId="3" fillId="5" borderId="37" xfId="0" applyFont="1" applyFill="1" applyBorder="1"/>
    <xf numFmtId="0" fontId="3" fillId="5" borderId="37" xfId="0" applyFont="1" applyFill="1" applyBorder="1" applyAlignment="1">
      <alignment vertical="top"/>
    </xf>
    <xf numFmtId="0" fontId="7" fillId="5" borderId="37" xfId="0" applyFont="1" applyFill="1" applyBorder="1" applyAlignment="1">
      <alignment vertical="top"/>
    </xf>
    <xf numFmtId="0" fontId="6" fillId="3" borderId="37" xfId="0" applyFont="1" applyFill="1" applyBorder="1" applyAlignment="1">
      <alignment horizontal="left" vertical="top" wrapText="1"/>
    </xf>
    <xf numFmtId="166" fontId="6" fillId="3" borderId="37" xfId="0" applyNumberFormat="1" applyFont="1" applyFill="1" applyBorder="1" applyAlignment="1">
      <alignment horizontal="right" vertical="top" wrapText="1"/>
    </xf>
    <xf numFmtId="167" fontId="14" fillId="3" borderId="37" xfId="0" applyNumberFormat="1" applyFont="1" applyFill="1" applyBorder="1" applyAlignment="1">
      <alignment vertical="top"/>
    </xf>
    <xf numFmtId="0" fontId="14" fillId="3" borderId="37" xfId="0" applyFont="1" applyFill="1" applyBorder="1" applyAlignment="1">
      <alignment vertical="top"/>
    </xf>
    <xf numFmtId="0" fontId="3" fillId="0" borderId="37" xfId="0" applyFont="1" applyBorder="1" applyAlignment="1">
      <alignment vertical="top"/>
    </xf>
    <xf numFmtId="0" fontId="9" fillId="3" borderId="37" xfId="0" applyFont="1" applyFill="1" applyBorder="1" applyAlignment="1">
      <alignment vertical="top" wrapText="1"/>
    </xf>
    <xf numFmtId="0" fontId="24" fillId="0" borderId="0" xfId="0" applyFont="1"/>
    <xf numFmtId="0" fontId="30" fillId="0" borderId="29" xfId="0" applyFont="1" applyBorder="1"/>
    <xf numFmtId="0" fontId="21" fillId="0" borderId="29" xfId="0" applyFont="1" applyBorder="1" applyAlignment="1">
      <alignment vertical="top"/>
    </xf>
    <xf numFmtId="0" fontId="24" fillId="0" borderId="0" xfId="0" applyFont="1" applyAlignment="1">
      <alignment vertical="top"/>
    </xf>
    <xf numFmtId="0" fontId="3" fillId="0" borderId="37" xfId="0" applyFont="1" applyBorder="1"/>
    <xf numFmtId="0" fontId="5" fillId="2" borderId="45" xfId="0" applyFont="1" applyFill="1" applyBorder="1" applyAlignment="1">
      <alignment horizontal="center"/>
    </xf>
    <xf numFmtId="0" fontId="5" fillId="2" borderId="46" xfId="0" applyFont="1" applyFill="1" applyBorder="1" applyAlignment="1">
      <alignment horizontal="center"/>
    </xf>
    <xf numFmtId="14" fontId="6" fillId="0" borderId="37" xfId="0" applyNumberFormat="1" applyFont="1" applyBorder="1" applyAlignment="1">
      <alignment horizontal="center" wrapText="1"/>
    </xf>
    <xf numFmtId="49" fontId="6" fillId="0" borderId="37" xfId="0" applyNumberFormat="1" applyFont="1" applyBorder="1" applyAlignment="1">
      <alignment horizontal="center"/>
    </xf>
    <xf numFmtId="0" fontId="6" fillId="0" borderId="37" xfId="0" applyFont="1" applyBorder="1"/>
    <xf numFmtId="0" fontId="6" fillId="0" borderId="37" xfId="0" applyFont="1" applyBorder="1" applyAlignment="1">
      <alignment horizontal="center"/>
    </xf>
    <xf numFmtId="0" fontId="6" fillId="0" borderId="37" xfId="0" applyFont="1" applyBorder="1" applyAlignment="1">
      <alignment wrapText="1"/>
    </xf>
    <xf numFmtId="0" fontId="25" fillId="0" borderId="37" xfId="0" applyFont="1" applyBorder="1"/>
    <xf numFmtId="14" fontId="6" fillId="0" borderId="37" xfId="0" applyNumberFormat="1" applyFont="1" applyBorder="1" applyAlignment="1">
      <alignment horizontal="center"/>
    </xf>
    <xf numFmtId="0" fontId="20" fillId="0" borderId="37" xfId="0" applyFont="1" applyBorder="1"/>
    <xf numFmtId="0" fontId="20" fillId="0" borderId="37" xfId="0" applyFont="1" applyBorder="1" applyAlignment="1">
      <alignment horizontal="center"/>
    </xf>
    <xf numFmtId="0" fontId="20" fillId="0" borderId="37" xfId="0" applyFont="1" applyBorder="1" applyAlignment="1">
      <alignment wrapText="1"/>
    </xf>
    <xf numFmtId="0" fontId="32" fillId="6" borderId="47" xfId="0" applyFont="1" applyFill="1" applyBorder="1" applyAlignment="1">
      <alignment horizontal="center" vertical="center" wrapText="1"/>
    </xf>
    <xf numFmtId="0" fontId="33" fillId="0" borderId="47" xfId="0" applyFont="1" applyBorder="1" applyAlignment="1">
      <alignment horizontal="center" vertical="center"/>
    </xf>
    <xf numFmtId="0" fontId="33" fillId="0" borderId="47" xfId="0" applyFont="1" applyBorder="1" applyAlignment="1">
      <alignment vertical="center" wrapText="1"/>
    </xf>
    <xf numFmtId="0" fontId="34" fillId="7" borderId="47" xfId="0" applyFont="1" applyFill="1" applyBorder="1" applyAlignment="1">
      <alignment vertical="center" wrapText="1"/>
    </xf>
    <xf numFmtId="14" fontId="33" fillId="0" borderId="47" xfId="0" applyNumberFormat="1" applyFont="1" applyBorder="1" applyAlignment="1">
      <alignment horizontal="center" vertical="center"/>
    </xf>
    <xf numFmtId="0" fontId="35" fillId="8" borderId="47" xfId="0" applyFont="1" applyFill="1" applyBorder="1" applyAlignment="1">
      <alignment vertical="center" wrapText="1"/>
    </xf>
    <xf numFmtId="0" fontId="0" fillId="0" borderId="0" xfId="0" applyAlignment="1">
      <alignment wrapText="1"/>
    </xf>
    <xf numFmtId="14" fontId="0" fillId="0" borderId="0" xfId="0" applyNumberFormat="1"/>
    <xf numFmtId="0" fontId="6" fillId="3" borderId="37" xfId="0" applyFont="1" applyFill="1" applyBorder="1" applyAlignment="1">
      <alignment vertical="top" wrapText="1"/>
    </xf>
    <xf numFmtId="0" fontId="2" fillId="0" borderId="37" xfId="0" applyFont="1" applyBorder="1"/>
    <xf numFmtId="0" fontId="20" fillId="3" borderId="37" xfId="0" applyFont="1" applyFill="1" applyBorder="1" applyAlignment="1">
      <alignment vertical="top" wrapText="1"/>
    </xf>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3" fillId="0" borderId="1" xfId="0" applyFont="1" applyBorder="1"/>
    <xf numFmtId="0" fontId="8" fillId="0" borderId="1" xfId="0" applyFont="1" applyBorder="1" applyAlignment="1">
      <alignment horizontal="left" vertical="center" wrapText="1"/>
    </xf>
    <xf numFmtId="0" fontId="24" fillId="0" borderId="1" xfId="0" applyFont="1" applyBorder="1" applyAlignment="1">
      <alignment vertical="top"/>
    </xf>
    <xf numFmtId="0" fontId="23" fillId="0" borderId="0" xfId="0" applyFont="1" applyAlignment="1">
      <alignment horizontal="center"/>
    </xf>
    <xf numFmtId="0" fontId="0" fillId="0" borderId="0" xfId="0"/>
    <xf numFmtId="0" fontId="8" fillId="0" borderId="1" xfId="0" applyFont="1" applyBorder="1"/>
    <xf numFmtId="0" fontId="24" fillId="0" borderId="1" xfId="0" applyFont="1" applyBorder="1"/>
    <xf numFmtId="0" fontId="29" fillId="3" borderId="1" xfId="0" applyFont="1" applyFill="1" applyBorder="1"/>
    <xf numFmtId="0" fontId="12" fillId="3" borderId="1" xfId="0" applyFont="1" applyFill="1" applyBorder="1"/>
    <xf numFmtId="165" fontId="13" fillId="3" borderId="9" xfId="0" applyNumberFormat="1" applyFont="1" applyFill="1" applyBorder="1" applyAlignment="1">
      <alignment horizontal="left" vertical="top"/>
    </xf>
    <xf numFmtId="0" fontId="29" fillId="3" borderId="1" xfId="0" applyFont="1" applyFill="1" applyBorder="1" applyAlignment="1">
      <alignment vertical="top" wrapText="1"/>
    </xf>
    <xf numFmtId="0" fontId="11" fillId="3" borderId="7" xfId="0" applyFont="1" applyFill="1" applyBorder="1" applyAlignment="1">
      <alignment horizontal="center"/>
    </xf>
    <xf numFmtId="0" fontId="2" fillId="0" borderId="8" xfId="0" applyFont="1" applyBorder="1"/>
    <xf numFmtId="0" fontId="20" fillId="3" borderId="9" xfId="0" applyFont="1" applyFill="1" applyBorder="1" applyAlignment="1">
      <alignment horizontal="left"/>
    </xf>
    <xf numFmtId="0" fontId="13" fillId="3" borderId="1" xfId="0" applyFont="1" applyFill="1" applyBorder="1"/>
    <xf numFmtId="0" fontId="6" fillId="3" borderId="9" xfId="0" applyFont="1" applyFill="1" applyBorder="1" applyAlignment="1">
      <alignment horizontal="left"/>
    </xf>
    <xf numFmtId="0" fontId="20" fillId="3" borderId="21" xfId="0" applyFont="1" applyFill="1" applyBorder="1" applyAlignment="1">
      <alignment vertical="top" wrapText="1"/>
    </xf>
    <xf numFmtId="0" fontId="2" fillId="0" borderId="22" xfId="0" applyFont="1" applyBorder="1"/>
    <xf numFmtId="0" fontId="2" fillId="0" borderId="23" xfId="0" applyFont="1" applyBorder="1"/>
    <xf numFmtId="0" fontId="20" fillId="3" borderId="1" xfId="0" applyFont="1" applyFill="1" applyBorder="1" applyAlignment="1">
      <alignment vertical="top" wrapText="1"/>
    </xf>
    <xf numFmtId="0" fontId="2" fillId="0" borderId="25" xfId="0" applyFont="1" applyBorder="1"/>
    <xf numFmtId="0" fontId="6" fillId="3" borderId="1" xfId="0" applyFont="1" applyFill="1" applyBorder="1" applyAlignment="1">
      <alignment vertical="top" wrapText="1"/>
    </xf>
    <xf numFmtId="0" fontId="25" fillId="0" borderId="37" xfId="0" applyFont="1" applyBorder="1" applyAlignment="1">
      <alignment vertical="center" wrapText="1"/>
    </xf>
    <xf numFmtId="0" fontId="25" fillId="0" borderId="37" xfId="0" applyFont="1" applyBorder="1" applyAlignment="1">
      <alignment horizontal="left" vertical="center" wrapText="1"/>
    </xf>
    <xf numFmtId="14" fontId="25" fillId="0" borderId="37" xfId="0" applyNumberFormat="1" applyFont="1" applyBorder="1" applyAlignment="1">
      <alignment vertical="center" wrapText="1"/>
    </xf>
    <xf numFmtId="0" fontId="27" fillId="5" borderId="37" xfId="0" applyFont="1" applyFill="1" applyBorder="1" applyAlignment="1">
      <alignment wrapText="1"/>
    </xf>
    <xf numFmtId="0" fontId="27" fillId="0" borderId="29" xfId="0" applyFont="1" applyBorder="1" applyAlignment="1">
      <alignment vertical="top" wrapText="1"/>
    </xf>
    <xf numFmtId="0" fontId="19" fillId="0" borderId="29" xfId="0" applyFont="1" applyBorder="1"/>
    <xf numFmtId="0" fontId="27" fillId="5" borderId="44" xfId="0" applyFont="1" applyFill="1" applyBorder="1" applyAlignment="1">
      <alignment wrapText="1"/>
    </xf>
    <xf numFmtId="0" fontId="2" fillId="0" borderId="44" xfId="0" applyFont="1" applyBorder="1"/>
    <xf numFmtId="0" fontId="27" fillId="0" borderId="29" xfId="0" applyFont="1" applyBorder="1" applyAlignment="1">
      <alignment wrapText="1"/>
    </xf>
    <xf numFmtId="0" fontId="27" fillId="5" borderId="30" xfId="0" applyFont="1" applyFill="1" applyBorder="1" applyAlignment="1">
      <alignment vertical="top" wrapText="1"/>
    </xf>
    <xf numFmtId="0" fontId="2" fillId="0" borderId="29" xfId="0" applyFont="1" applyBorder="1"/>
    <xf numFmtId="0" fontId="2" fillId="0" borderId="42" xfId="0" applyFont="1" applyBorder="1"/>
    <xf numFmtId="0" fontId="27" fillId="5" borderId="30" xfId="0" applyFont="1" applyFill="1" applyBorder="1" applyAlignment="1">
      <alignment wrapText="1"/>
    </xf>
  </cellXfs>
  <cellStyles count="1">
    <cellStyle name="Normal" xfId="0" builtinId="0"/>
  </cellStyles>
  <dxfs count="192">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ont>
        <strike val="0"/>
        <outline val="0"/>
        <shadow val="0"/>
        <u val="none"/>
        <vertAlign val="baseline"/>
        <color theme="1"/>
      </font>
      <fill>
        <patternFill patternType="none">
          <fgColor indexed="64"/>
          <bgColor auto="1"/>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0">
    <tableStyle name="Test Case-style" pivot="0" count="4" xr9:uid="{00000000-0011-0000-FFFF-FFFF00000000}">
      <tableStyleElement type="wholeTable" size="0" dxfId="191"/>
      <tableStyleElement type="headerRow" dxfId="190"/>
      <tableStyleElement type="firstRowStripe" dxfId="189"/>
      <tableStyleElement type="secondRowStripe" dxfId="188"/>
    </tableStyle>
    <tableStyle name="Feature 2-style" pivot="0" count="2" xr9:uid="{00000000-0011-0000-FFFF-FFFF01000000}">
      <tableStyleElement type="firstRowStripe" dxfId="187"/>
      <tableStyleElement type="secondRowStripe" dxfId="186"/>
    </tableStyle>
    <tableStyle name="Feature 2-style 2" pivot="0" count="2" xr9:uid="{00000000-0011-0000-FFFF-FFFF02000000}">
      <tableStyleElement type="firstRowStripe" dxfId="185"/>
      <tableStyleElement type="secondRowStripe" dxfId="184"/>
    </tableStyle>
    <tableStyle name="Feature 4-style" pivot="0" count="2" xr9:uid="{00000000-0011-0000-FFFF-FFFF03000000}">
      <tableStyleElement type="firstRowStripe" dxfId="183"/>
      <tableStyleElement type="secondRowStripe" dxfId="182"/>
    </tableStyle>
    <tableStyle name="Feature 4-style 2" pivot="0" count="2" xr9:uid="{00000000-0011-0000-FFFF-FFFF04000000}">
      <tableStyleElement type="firstRowStripe" dxfId="181"/>
      <tableStyleElement type="secondRowStripe" dxfId="180"/>
    </tableStyle>
    <tableStyle name="Feature 4-style 3" pivot="0" count="2" xr9:uid="{00000000-0011-0000-FFFF-FFFF05000000}">
      <tableStyleElement type="firstRowStripe" dxfId="179"/>
      <tableStyleElement type="secondRowStripe" dxfId="178"/>
    </tableStyle>
    <tableStyle name="Feature 4-style 4" pivot="0" count="2" xr9:uid="{00000000-0011-0000-FFFF-FFFF06000000}">
      <tableStyleElement type="firstRowStripe" dxfId="177"/>
      <tableStyleElement type="secondRowStripe" dxfId="176"/>
    </tableStyle>
    <tableStyle name="Feature 4-style 5" pivot="0" count="2" xr9:uid="{00000000-0011-0000-FFFF-FFFF07000000}">
      <tableStyleElement type="firstRowStripe" dxfId="175"/>
      <tableStyleElement type="secondRowStripe" dxfId="174"/>
    </tableStyle>
    <tableStyle name="Feature 4-style 6" pivot="0" count="2" xr9:uid="{00000000-0011-0000-FFFF-FFFF08000000}">
      <tableStyleElement type="firstRowStripe" dxfId="173"/>
      <tableStyleElement type="secondRowStripe" dxfId="172"/>
    </tableStyle>
    <tableStyle name="Feature 4-style 7" pivot="0" count="2" xr9:uid="{00000000-0011-0000-FFFF-FFFF09000000}">
      <tableStyleElement type="firstRowStripe" dxfId="171"/>
      <tableStyleElement type="secondRowStripe" dxfId="170"/>
    </tableStyle>
    <tableStyle name="Feature 4-style 8" pivot="0" count="2" xr9:uid="{00000000-0011-0000-FFFF-FFFF0A000000}">
      <tableStyleElement type="firstRowStripe" dxfId="169"/>
      <tableStyleElement type="secondRowStripe" dxfId="168"/>
    </tableStyle>
    <tableStyle name="Feature 4-style 9" pivot="0" count="2" xr9:uid="{00000000-0011-0000-FFFF-FFFF0B000000}">
      <tableStyleElement type="firstRowStripe" dxfId="167"/>
      <tableStyleElement type="secondRowStripe" dxfId="166"/>
    </tableStyle>
    <tableStyle name="Feature 4-style 10" pivot="0" count="2" xr9:uid="{00000000-0011-0000-FFFF-FFFF0C000000}">
      <tableStyleElement type="firstRowStripe" dxfId="165"/>
      <tableStyleElement type="secondRowStripe" dxfId="164"/>
    </tableStyle>
    <tableStyle name="Feature 4-style 11" pivot="0" count="2" xr9:uid="{00000000-0011-0000-FFFF-FFFF0D000000}">
      <tableStyleElement type="firstRowStripe" dxfId="163"/>
      <tableStyleElement type="secondRowStripe" dxfId="162"/>
    </tableStyle>
    <tableStyle name="Feature 4-style 12" pivot="0" count="2" xr9:uid="{00000000-0011-0000-FFFF-FFFF0E000000}">
      <tableStyleElement type="firstRowStripe" dxfId="161"/>
      <tableStyleElement type="secondRowStripe" dxfId="160"/>
    </tableStyle>
    <tableStyle name="Feature 4-style 13" pivot="0" count="2" xr9:uid="{00000000-0011-0000-FFFF-FFFF0F000000}">
      <tableStyleElement type="firstRowStripe" dxfId="159"/>
      <tableStyleElement type="secondRowStripe" dxfId="158"/>
    </tableStyle>
    <tableStyle name="Feature 4-style 14" pivot="0" count="2" xr9:uid="{00000000-0011-0000-FFFF-FFFF10000000}">
      <tableStyleElement type="firstRowStripe" dxfId="157"/>
      <tableStyleElement type="secondRowStripe" dxfId="156"/>
    </tableStyle>
    <tableStyle name="Feature 4-style 15" pivot="0" count="2" xr9:uid="{00000000-0011-0000-FFFF-FFFF11000000}">
      <tableStyleElement type="firstRowStripe" dxfId="155"/>
      <tableStyleElement type="secondRowStripe" dxfId="154"/>
    </tableStyle>
    <tableStyle name="Feature 4-style 16" pivot="0" count="2" xr9:uid="{00000000-0011-0000-FFFF-FFFF12000000}">
      <tableStyleElement type="firstRowStripe" dxfId="153"/>
      <tableStyleElement type="secondRowStripe" dxfId="152"/>
    </tableStyle>
    <tableStyle name="Feature 4-style 17" pivot="0" count="2" xr9:uid="{00000000-0011-0000-FFFF-FFFF13000000}">
      <tableStyleElement type="firstRowStripe" dxfId="151"/>
      <tableStyleElement type="secondRowStripe" dxfId="1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757575"/>
                </a:solidFill>
                <a:latin typeface="+mn-lt"/>
              </a:defRPr>
            </a:pPr>
            <a:r>
              <a:rPr lang="en-US" b="1">
                <a:solidFill>
                  <a:srgbClr val="757575"/>
                </a:solidFill>
                <a:latin typeface="+mn-lt"/>
              </a:rPr>
              <a:t>Test Result by Module</a:t>
            </a:r>
          </a:p>
        </c:rich>
      </c:tx>
      <c:overlay val="0"/>
    </c:title>
    <c:autoTitleDeleted val="0"/>
    <c:plotArea>
      <c:layout/>
      <c:barChart>
        <c:barDir val="col"/>
        <c:grouping val="stacked"/>
        <c:varyColors val="1"/>
        <c:ser>
          <c:idx val="0"/>
          <c:order val="0"/>
          <c:tx>
            <c:strRef>
              <c:f>'Test Statistics'!$D$10</c:f>
              <c:strCache>
                <c:ptCount val="1"/>
                <c:pt idx="0">
                  <c:v>Passed</c:v>
                </c:pt>
              </c:strCache>
            </c:strRef>
          </c:tx>
          <c:spPr>
            <a:solidFill>
              <a:srgbClr val="4285F4"/>
            </a:solidFill>
            <a:ln cmpd="sng">
              <a:solidFill>
                <a:srgbClr val="000000"/>
              </a:solidFill>
            </a:ln>
          </c:spPr>
          <c:invertIfNegative val="1"/>
          <c:cat>
            <c:strRef>
              <c:f>'Test Statistics'!$C$11:$C$18</c:f>
              <c:strCache>
                <c:ptCount val="8"/>
                <c:pt idx="0">
                  <c:v>Authentication &amp; Authorization</c:v>
                </c:pt>
                <c:pt idx="1">
                  <c:v>User &amp; Staff Management</c:v>
                </c:pt>
                <c:pt idx="2">
                  <c:v>Appointment &amp; Scheduling</c:v>
                </c:pt>
                <c:pt idx="3">
                  <c:v>Wallet &amp; Payment</c:v>
                </c:pt>
                <c:pt idx="4">
                  <c:v>Family Member Management</c:v>
                </c:pt>
                <c:pt idx="5">
                  <c:v>Treatment Management</c:v>
                </c:pt>
                <c:pt idx="6">
                  <c:v>Feedback &amp; Rating</c:v>
                </c:pt>
                <c:pt idx="7">
                  <c:v>AI, Notification &amp; E2E Testing</c:v>
                </c:pt>
              </c:strCache>
            </c:strRef>
          </c:cat>
          <c:val>
            <c:numRef>
              <c:f>'Test Statistics'!$D$11:$D$18</c:f>
              <c:numCache>
                <c:formatCode>General</c:formatCode>
                <c:ptCount val="8"/>
                <c:pt idx="0">
                  <c:v>18</c:v>
                </c:pt>
                <c:pt idx="1">
                  <c:v>20</c:v>
                </c:pt>
                <c:pt idx="2">
                  <c:v>25</c:v>
                </c:pt>
                <c:pt idx="3">
                  <c:v>15</c:v>
                </c:pt>
                <c:pt idx="4">
                  <c:v>4</c:v>
                </c:pt>
                <c:pt idx="5">
                  <c:v>10</c:v>
                </c:pt>
                <c:pt idx="6">
                  <c:v>22</c:v>
                </c:pt>
                <c:pt idx="7">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CB8-4DDC-88C1-97FADA1042AB}"/>
            </c:ext>
          </c:extLst>
        </c:ser>
        <c:ser>
          <c:idx val="1"/>
          <c:order val="1"/>
          <c:tx>
            <c:strRef>
              <c:f>'Test Statistics'!$E$10</c:f>
              <c:strCache>
                <c:ptCount val="1"/>
                <c:pt idx="0">
                  <c:v>Failed</c:v>
                </c:pt>
              </c:strCache>
            </c:strRef>
          </c:tx>
          <c:spPr>
            <a:solidFill>
              <a:srgbClr val="EA4335"/>
            </a:solidFill>
            <a:ln cmpd="sng">
              <a:solidFill>
                <a:srgbClr val="000000"/>
              </a:solidFill>
            </a:ln>
          </c:spPr>
          <c:invertIfNegative val="1"/>
          <c:cat>
            <c:strRef>
              <c:f>'Test Statistics'!$C$11:$C$18</c:f>
              <c:strCache>
                <c:ptCount val="8"/>
                <c:pt idx="0">
                  <c:v>Authentication &amp; Authorization</c:v>
                </c:pt>
                <c:pt idx="1">
                  <c:v>User &amp; Staff Management</c:v>
                </c:pt>
                <c:pt idx="2">
                  <c:v>Appointment &amp; Scheduling</c:v>
                </c:pt>
                <c:pt idx="3">
                  <c:v>Wallet &amp; Payment</c:v>
                </c:pt>
                <c:pt idx="4">
                  <c:v>Family Member Management</c:v>
                </c:pt>
                <c:pt idx="5">
                  <c:v>Treatment Management</c:v>
                </c:pt>
                <c:pt idx="6">
                  <c:v>Feedback &amp; Rating</c:v>
                </c:pt>
                <c:pt idx="7">
                  <c:v>AI, Notification &amp; E2E Testing</c:v>
                </c:pt>
              </c:strCache>
            </c:strRef>
          </c:cat>
          <c:val>
            <c:numRef>
              <c:f>'Test Statistics'!$E$11:$E$18</c:f>
              <c:numCache>
                <c:formatCode>General</c:formatCode>
                <c:ptCount val="8"/>
                <c:pt idx="0">
                  <c:v>0</c:v>
                </c:pt>
                <c:pt idx="1">
                  <c:v>0</c:v>
                </c:pt>
                <c:pt idx="2">
                  <c:v>2</c:v>
                </c:pt>
                <c:pt idx="3">
                  <c:v>0</c:v>
                </c:pt>
                <c:pt idx="4">
                  <c:v>1</c:v>
                </c:pt>
                <c:pt idx="5">
                  <c:v>0</c:v>
                </c:pt>
                <c:pt idx="6">
                  <c:v>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CB8-4DDC-88C1-97FADA1042AB}"/>
            </c:ext>
          </c:extLst>
        </c:ser>
        <c:ser>
          <c:idx val="2"/>
          <c:order val="2"/>
          <c:tx>
            <c:strRef>
              <c:f>'Test Statistics'!$F$10</c:f>
              <c:strCache>
                <c:ptCount val="1"/>
                <c:pt idx="0">
                  <c:v>Pending</c:v>
                </c:pt>
              </c:strCache>
            </c:strRef>
          </c:tx>
          <c:spPr>
            <a:solidFill>
              <a:srgbClr val="FBBC04"/>
            </a:solidFill>
            <a:ln cmpd="sng">
              <a:solidFill>
                <a:srgbClr val="000000"/>
              </a:solidFill>
            </a:ln>
          </c:spPr>
          <c:invertIfNegative val="1"/>
          <c:cat>
            <c:strRef>
              <c:f>'Test Statistics'!$C$11:$C$18</c:f>
              <c:strCache>
                <c:ptCount val="8"/>
                <c:pt idx="0">
                  <c:v>Authentication &amp; Authorization</c:v>
                </c:pt>
                <c:pt idx="1">
                  <c:v>User &amp; Staff Management</c:v>
                </c:pt>
                <c:pt idx="2">
                  <c:v>Appointment &amp; Scheduling</c:v>
                </c:pt>
                <c:pt idx="3">
                  <c:v>Wallet &amp; Payment</c:v>
                </c:pt>
                <c:pt idx="4">
                  <c:v>Family Member Management</c:v>
                </c:pt>
                <c:pt idx="5">
                  <c:v>Treatment Management</c:v>
                </c:pt>
                <c:pt idx="6">
                  <c:v>Feedback &amp; Rating</c:v>
                </c:pt>
                <c:pt idx="7">
                  <c:v>AI, Notification &amp; E2E Testing</c:v>
                </c:pt>
              </c:strCache>
            </c:strRef>
          </c:cat>
          <c:val>
            <c:numRef>
              <c:f>'Test Statistics'!$F$11:$F$18</c:f>
              <c:numCache>
                <c:formatCode>General</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CB8-4DDC-88C1-97FADA1042AB}"/>
            </c:ext>
          </c:extLst>
        </c:ser>
        <c:ser>
          <c:idx val="3"/>
          <c:order val="3"/>
          <c:tx>
            <c:strRef>
              <c:f>'Test Statistics'!$G$10</c:f>
              <c:strCache>
                <c:ptCount val="1"/>
                <c:pt idx="0">
                  <c:v>N/A</c:v>
                </c:pt>
              </c:strCache>
            </c:strRef>
          </c:tx>
          <c:spPr>
            <a:solidFill>
              <a:srgbClr val="34A853"/>
            </a:solidFill>
            <a:ln cmpd="sng">
              <a:solidFill>
                <a:srgbClr val="000000"/>
              </a:solidFill>
            </a:ln>
          </c:spPr>
          <c:invertIfNegative val="1"/>
          <c:cat>
            <c:strRef>
              <c:f>'Test Statistics'!$C$11:$C$18</c:f>
              <c:strCache>
                <c:ptCount val="8"/>
                <c:pt idx="0">
                  <c:v>Authentication &amp; Authorization</c:v>
                </c:pt>
                <c:pt idx="1">
                  <c:v>User &amp; Staff Management</c:v>
                </c:pt>
                <c:pt idx="2">
                  <c:v>Appointment &amp; Scheduling</c:v>
                </c:pt>
                <c:pt idx="3">
                  <c:v>Wallet &amp; Payment</c:v>
                </c:pt>
                <c:pt idx="4">
                  <c:v>Family Member Management</c:v>
                </c:pt>
                <c:pt idx="5">
                  <c:v>Treatment Management</c:v>
                </c:pt>
                <c:pt idx="6">
                  <c:v>Feedback &amp; Rating</c:v>
                </c:pt>
                <c:pt idx="7">
                  <c:v>AI, Notification &amp; E2E Testing</c:v>
                </c:pt>
              </c:strCache>
            </c:strRef>
          </c:cat>
          <c:val>
            <c:numRef>
              <c:f>'Test Statistics'!$G$11:$G$18</c:f>
              <c:numCache>
                <c:formatCode>General</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CB8-4DDC-88C1-97FADA1042AB}"/>
            </c:ext>
          </c:extLst>
        </c:ser>
        <c:dLbls>
          <c:showLegendKey val="0"/>
          <c:showVal val="0"/>
          <c:showCatName val="0"/>
          <c:showSerName val="0"/>
          <c:showPercent val="0"/>
          <c:showBubbleSize val="0"/>
        </c:dLbls>
        <c:gapWidth val="150"/>
        <c:overlap val="100"/>
        <c:axId val="1365561151"/>
        <c:axId val="1581644504"/>
      </c:barChart>
      <c:catAx>
        <c:axId val="1365561151"/>
        <c:scaling>
          <c:orientation val="minMax"/>
        </c:scaling>
        <c:delete val="0"/>
        <c:axPos val="b"/>
        <c:title>
          <c:tx>
            <c:rich>
              <a:bodyPr/>
              <a:lstStyle/>
              <a:p>
                <a:pPr lvl="0">
                  <a:defRPr b="0">
                    <a:solidFill>
                      <a:srgbClr val="000000"/>
                    </a:solidFill>
                    <a:latin typeface="+mn-lt"/>
                  </a:defRPr>
                </a:pPr>
                <a:endParaRPr lang="en-AT"/>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AT"/>
          </a:p>
        </c:txPr>
        <c:crossAx val="1581644504"/>
        <c:crosses val="autoZero"/>
        <c:auto val="1"/>
        <c:lblAlgn val="ctr"/>
        <c:lblOffset val="100"/>
        <c:noMultiLvlLbl val="1"/>
      </c:catAx>
      <c:valAx>
        <c:axId val="1581644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T"/>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AT"/>
          </a:p>
        </c:txPr>
        <c:crossAx val="1365561151"/>
        <c:crosses val="autoZero"/>
        <c:crossBetween val="between"/>
      </c:valAx>
    </c:plotArea>
    <c:legend>
      <c:legendPos val="r"/>
      <c:overlay val="0"/>
      <c:txPr>
        <a:bodyPr/>
        <a:lstStyle/>
        <a:p>
          <a:pPr lvl="0">
            <a:defRPr b="0">
              <a:solidFill>
                <a:srgbClr val="1A1A1A"/>
              </a:solidFill>
              <a:latin typeface="+mn-lt"/>
            </a:defRPr>
          </a:pPr>
          <a:endParaRPr lang="en-AT"/>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757575"/>
                </a:solidFill>
                <a:latin typeface="+mn-lt"/>
              </a:defRPr>
            </a:pPr>
            <a:r>
              <a:rPr lang="en-US" b="1">
                <a:solidFill>
                  <a:srgbClr val="757575"/>
                </a:solidFill>
                <a:latin typeface="+mn-lt"/>
              </a:rPr>
              <a:t>Number of Test Cases by Module</a:t>
            </a:r>
          </a:p>
        </c:rich>
      </c:tx>
      <c:overlay val="0"/>
    </c:title>
    <c:autoTitleDeleted val="0"/>
    <c:plotArea>
      <c:layout/>
      <c:barChart>
        <c:barDir val="bar"/>
        <c:grouping val="stacked"/>
        <c:varyColors val="1"/>
        <c:ser>
          <c:idx val="0"/>
          <c:order val="0"/>
          <c:spPr>
            <a:solidFill>
              <a:srgbClr val="4285F4"/>
            </a:solidFill>
            <a:ln cmpd="sng">
              <a:solidFill>
                <a:srgbClr val="000000"/>
              </a:solidFill>
            </a:ln>
          </c:spPr>
          <c:invertIfNegative val="1"/>
          <c:cat>
            <c:strRef>
              <c:f>'Test Statistics'!$C$11:$C$18</c:f>
              <c:strCache>
                <c:ptCount val="8"/>
                <c:pt idx="0">
                  <c:v>Authentication &amp; Authorization</c:v>
                </c:pt>
                <c:pt idx="1">
                  <c:v>User &amp; Staff Management</c:v>
                </c:pt>
                <c:pt idx="2">
                  <c:v>Appointment &amp; Scheduling</c:v>
                </c:pt>
                <c:pt idx="3">
                  <c:v>Wallet &amp; Payment</c:v>
                </c:pt>
                <c:pt idx="4">
                  <c:v>Family Member Management</c:v>
                </c:pt>
                <c:pt idx="5">
                  <c:v>Treatment Management</c:v>
                </c:pt>
                <c:pt idx="6">
                  <c:v>Feedback &amp; Rating</c:v>
                </c:pt>
                <c:pt idx="7">
                  <c:v>AI, Notification &amp; E2E Testing</c:v>
                </c:pt>
              </c:strCache>
            </c:strRef>
          </c:cat>
          <c:val>
            <c:numRef>
              <c:f>'Test Statistics'!$H$11:$H$18</c:f>
              <c:numCache>
                <c:formatCode>General</c:formatCode>
                <c:ptCount val="8"/>
                <c:pt idx="0">
                  <c:v>18</c:v>
                </c:pt>
                <c:pt idx="1">
                  <c:v>20</c:v>
                </c:pt>
                <c:pt idx="2">
                  <c:v>27</c:v>
                </c:pt>
                <c:pt idx="3">
                  <c:v>15</c:v>
                </c:pt>
                <c:pt idx="4">
                  <c:v>5</c:v>
                </c:pt>
                <c:pt idx="5">
                  <c:v>10</c:v>
                </c:pt>
                <c:pt idx="6">
                  <c:v>23</c:v>
                </c:pt>
                <c:pt idx="7">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093-4972-9018-E5C82669A6A7}"/>
            </c:ext>
          </c:extLst>
        </c:ser>
        <c:dLbls>
          <c:showLegendKey val="0"/>
          <c:showVal val="0"/>
          <c:showCatName val="0"/>
          <c:showSerName val="0"/>
          <c:showPercent val="0"/>
          <c:showBubbleSize val="0"/>
        </c:dLbls>
        <c:gapWidth val="150"/>
        <c:overlap val="100"/>
        <c:axId val="1525439680"/>
        <c:axId val="1569270195"/>
      </c:barChart>
      <c:catAx>
        <c:axId val="1525439680"/>
        <c:scaling>
          <c:orientation val="maxMin"/>
        </c:scaling>
        <c:delete val="0"/>
        <c:axPos val="l"/>
        <c:title>
          <c:tx>
            <c:rich>
              <a:bodyPr/>
              <a:lstStyle/>
              <a:p>
                <a:pPr lvl="0">
                  <a:defRPr b="0">
                    <a:solidFill>
                      <a:srgbClr val="000000"/>
                    </a:solidFill>
                    <a:latin typeface="+mn-lt"/>
                  </a:defRPr>
                </a:pPr>
                <a:endParaRPr lang="en-AT"/>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AT"/>
          </a:p>
        </c:txPr>
        <c:crossAx val="1569270195"/>
        <c:crosses val="autoZero"/>
        <c:auto val="1"/>
        <c:lblAlgn val="ctr"/>
        <c:lblOffset val="100"/>
        <c:noMultiLvlLbl val="1"/>
      </c:catAx>
      <c:valAx>
        <c:axId val="15692701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T"/>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AT"/>
          </a:p>
        </c:txPr>
        <c:crossAx val="1525439680"/>
        <c:crosses val="max"/>
        <c:crossBetween val="between"/>
      </c:valAx>
    </c:plotArea>
    <c:legend>
      <c:legendPos val="r"/>
      <c:overlay val="0"/>
      <c:txPr>
        <a:bodyPr/>
        <a:lstStyle/>
        <a:p>
          <a:pPr lvl="0">
            <a:defRPr b="0">
              <a:solidFill>
                <a:srgbClr val="1A1A1A"/>
              </a:solidFill>
              <a:latin typeface="+mn-lt"/>
            </a:defRPr>
          </a:pPr>
          <a:endParaRPr lang="en-AT"/>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757575"/>
                </a:solidFill>
                <a:latin typeface="+mn-lt"/>
              </a:defRPr>
            </a:pPr>
            <a:r>
              <a:rPr lang="en-US" b="1">
                <a:solidFill>
                  <a:srgbClr val="757575"/>
                </a:solidFill>
                <a:latin typeface="+mn-lt"/>
              </a:rPr>
              <a:t>Overall Test Result Distribution</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chemeClr val="accent1"/>
              </a:solidFill>
            </c:spPr>
            <c:extLst>
              <c:ext xmlns:c16="http://schemas.microsoft.com/office/drawing/2014/chart" uri="{C3380CC4-5D6E-409C-BE32-E72D297353CC}">
                <c16:uniqueId val="{00000001-CC74-4F0A-9234-23B47918019E}"/>
              </c:ext>
            </c:extLst>
          </c:dPt>
          <c:cat>
            <c:strRef>
              <c:f>'Test Statistics'!$D$10:$G$10</c:f>
              <c:strCache>
                <c:ptCount val="4"/>
                <c:pt idx="0">
                  <c:v>Passed</c:v>
                </c:pt>
                <c:pt idx="1">
                  <c:v>Failed</c:v>
                </c:pt>
                <c:pt idx="2">
                  <c:v>Pending</c:v>
                </c:pt>
                <c:pt idx="3">
                  <c:v>N/A</c:v>
                </c:pt>
              </c:strCache>
            </c:strRef>
          </c:cat>
          <c:val>
            <c:numRef>
              <c:f>'Test Statistics'!$D$19:$G$19</c:f>
              <c:numCache>
                <c:formatCode>General</c:formatCode>
                <c:ptCount val="4"/>
                <c:pt idx="0">
                  <c:v>128</c:v>
                </c:pt>
                <c:pt idx="1">
                  <c:v>4</c:v>
                </c:pt>
                <c:pt idx="2">
                  <c:v>0</c:v>
                </c:pt>
                <c:pt idx="3">
                  <c:v>0</c:v>
                </c:pt>
              </c:numCache>
            </c:numRef>
          </c:val>
          <c:extLst>
            <c:ext xmlns:c16="http://schemas.microsoft.com/office/drawing/2014/chart" uri="{C3380CC4-5D6E-409C-BE32-E72D297353CC}">
              <c16:uniqueId val="{00000002-CC74-4F0A-9234-23B47918019E}"/>
            </c:ext>
          </c:extLst>
        </c:ser>
        <c:dLbls>
          <c:showLegendKey val="0"/>
          <c:showVal val="0"/>
          <c:showCatName val="0"/>
          <c:showSerName val="0"/>
          <c:showPercent val="0"/>
          <c:showBubbleSize val="0"/>
          <c:showLeaderLines val="1"/>
        </c:dLbls>
      </c:pie3DChart>
    </c:plotArea>
    <c:legend>
      <c:legendPos val="b"/>
      <c:overlay val="0"/>
      <c:txPr>
        <a:bodyPr/>
        <a:lstStyle/>
        <a:p>
          <a:pPr lvl="0">
            <a:defRPr b="0">
              <a:solidFill>
                <a:srgbClr val="1A1A1A"/>
              </a:solidFill>
              <a:latin typeface="+mn-lt"/>
            </a:defRPr>
          </a:pPr>
          <a:endParaRPr lang="en-AT"/>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9525</xdr:colOff>
      <xdr:row>0</xdr:row>
      <xdr:rowOff>190500</xdr:rowOff>
    </xdr:from>
    <xdr:ext cx="2114550" cy="1200150"/>
    <xdr:pic>
      <xdr:nvPicPr>
        <xdr:cNvPr id="2" name="image1.jp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9525</xdr:colOff>
      <xdr:row>25</xdr:row>
      <xdr:rowOff>38100</xdr:rowOff>
    </xdr:from>
    <xdr:ext cx="5715000" cy="3533775"/>
    <xdr:graphicFrame macro="">
      <xdr:nvGraphicFramePr>
        <xdr:cNvPr id="2" name="Chart 1" title="Biểu đồ">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723900</xdr:colOff>
      <xdr:row>25</xdr:row>
      <xdr:rowOff>38100</xdr:rowOff>
    </xdr:from>
    <xdr:ext cx="5715000" cy="3533775"/>
    <xdr:graphicFrame macro="">
      <xdr:nvGraphicFramePr>
        <xdr:cNvPr id="3" name="Chart 2" title="Biểu đồ">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2457450</xdr:colOff>
      <xdr:row>46</xdr:row>
      <xdr:rowOff>104775</xdr:rowOff>
    </xdr:from>
    <xdr:ext cx="5715000" cy="3533775"/>
    <xdr:graphicFrame macro="">
      <xdr:nvGraphicFramePr>
        <xdr:cNvPr id="4" name="Chart 3" title="Biểu đồ">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13</xdr:row>
      <xdr:rowOff>123825</xdr:rowOff>
    </xdr:to>
    <xdr:sp macro="" textlink="">
      <xdr:nvSpPr>
        <xdr:cNvPr id="4098" name="AutoShape 2">
          <a:extLst>
            <a:ext uri="{FF2B5EF4-FFF2-40B4-BE49-F238E27FC236}">
              <a16:creationId xmlns:a16="http://schemas.microsoft.com/office/drawing/2014/main" id="{F782F1C9-1CF2-59B6-2992-C45E80AE3483}"/>
            </a:ext>
          </a:extLst>
        </xdr:cNvPr>
        <xdr:cNvSpPr>
          <a:spLocks noChangeAspect="1" noChangeArrowheads="1"/>
        </xdr:cNvSpPr>
      </xdr:nvSpPr>
      <xdr:spPr bwMode="auto">
        <a:xfrm>
          <a:off x="2362200" y="332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B8:F159">
  <tableColumns count="5">
    <tableColumn id="1" xr3:uid="{00000000-0010-0000-0000-000001000000}" name="TT"/>
    <tableColumn id="2" xr3:uid="{00000000-0010-0000-0000-000002000000}" name="Function Name"/>
    <tableColumn id="3" xr3:uid="{00000000-0010-0000-0000-000003000000}" name="Sheet Name"/>
    <tableColumn id="4" xr3:uid="{00000000-0010-0000-0000-000004000000}" name="Description"/>
    <tableColumn id="5" xr3:uid="{00000000-0010-0000-0000-000005000000}" name="Pre-Condition_x000a_(Optional)"/>
  </tableColumns>
  <tableStyleInfo name="Test C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B120:B129" headerRowCount="0">
  <tableColumns count="1">
    <tableColumn id="1" xr3:uid="{00000000-0010-0000-0200-000001000000}" name="Column1"/>
  </tableColumns>
  <tableStyleInfo name="Feature 2-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69:G79" headerRowCount="0" headerRowDxfId="149" dataDxfId="148" totalsRowDxfId="147">
  <tableColumns count="7">
    <tableColumn id="1" xr3:uid="{00000000-0010-0000-0300-000001000000}" name="Column1" dataDxfId="146"/>
    <tableColumn id="2" xr3:uid="{00000000-0010-0000-0300-000002000000}" name="Column2" dataDxfId="145"/>
    <tableColumn id="3" xr3:uid="{00000000-0010-0000-0300-000003000000}" name="Column3" dataDxfId="144"/>
    <tableColumn id="4" xr3:uid="{00000000-0010-0000-0300-000004000000}" name="Column4" dataDxfId="143"/>
    <tableColumn id="5" xr3:uid="{00000000-0010-0000-0300-000005000000}" name="Column5" dataDxfId="142"/>
    <tableColumn id="6" xr3:uid="{00000000-0010-0000-0300-000006000000}" name="Column6" dataDxfId="141"/>
    <tableColumn id="7" xr3:uid="{00000000-0010-0000-0300-000007000000}" name="Column7" dataDxfId="140"/>
  </tableColumns>
  <tableStyleInfo name="Feature 4-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83:G83" headerRowCount="0" headerRowDxfId="139" dataDxfId="138" totalsRowDxfId="137">
  <tableColumns count="7">
    <tableColumn id="1" xr3:uid="{00000000-0010-0000-0500-000001000000}" name="Column1" dataDxfId="136"/>
    <tableColumn id="2" xr3:uid="{00000000-0010-0000-0500-000002000000}" name="Column2" dataDxfId="135"/>
    <tableColumn id="3" xr3:uid="{00000000-0010-0000-0500-000003000000}" name="Column3" dataDxfId="134"/>
    <tableColumn id="4" xr3:uid="{00000000-0010-0000-0500-000004000000}" name="Column4" dataDxfId="133"/>
    <tableColumn id="5" xr3:uid="{00000000-0010-0000-0500-000005000000}" name="Column5" dataDxfId="132"/>
    <tableColumn id="6" xr3:uid="{00000000-0010-0000-0500-000006000000}" name="Column6" dataDxfId="131"/>
    <tableColumn id="7" xr3:uid="{00000000-0010-0000-0500-000007000000}" name="Column7" dataDxfId="130"/>
  </tableColumns>
  <tableStyleInfo name="Feature 4-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86:G86" headerRowCount="0" headerRowDxfId="129" dataDxfId="128" totalsRowDxfId="127">
  <tableColumns count="7">
    <tableColumn id="1" xr3:uid="{00000000-0010-0000-0600-000001000000}" name="Column1" dataDxfId="126"/>
    <tableColumn id="2" xr3:uid="{00000000-0010-0000-0600-000002000000}" name="Column2" dataDxfId="125"/>
    <tableColumn id="3" xr3:uid="{00000000-0010-0000-0600-000003000000}" name="Column3" dataDxfId="124"/>
    <tableColumn id="4" xr3:uid="{00000000-0010-0000-0600-000004000000}" name="Column4" dataDxfId="123"/>
    <tableColumn id="5" xr3:uid="{00000000-0010-0000-0600-000005000000}" name="Column5" dataDxfId="122"/>
    <tableColumn id="6" xr3:uid="{00000000-0010-0000-0600-000006000000}" name="Column6" dataDxfId="121"/>
    <tableColumn id="7" xr3:uid="{00000000-0010-0000-0600-000007000000}" name="Column7" dataDxfId="120"/>
  </tableColumns>
  <tableStyleInfo name="Feature 4-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88:G88" headerRowCount="0" headerRowDxfId="119" dataDxfId="118" totalsRowDxfId="117">
  <tableColumns count="7">
    <tableColumn id="1" xr3:uid="{00000000-0010-0000-0700-000001000000}" name="Column1" dataDxfId="116"/>
    <tableColumn id="2" xr3:uid="{00000000-0010-0000-0700-000002000000}" name="Column2" dataDxfId="115"/>
    <tableColumn id="3" xr3:uid="{00000000-0010-0000-0700-000003000000}" name="Column3" dataDxfId="114"/>
    <tableColumn id="4" xr3:uid="{00000000-0010-0000-0700-000004000000}" name="Column4" dataDxfId="113"/>
    <tableColumn id="5" xr3:uid="{00000000-0010-0000-0700-000005000000}" name="Column5" dataDxfId="112"/>
    <tableColumn id="6" xr3:uid="{00000000-0010-0000-0700-000006000000}" name="Column6" dataDxfId="111"/>
    <tableColumn id="7" xr3:uid="{00000000-0010-0000-0700-000007000000}" name="Column7" dataDxfId="110"/>
  </tableColumns>
  <tableStyleInfo name="Feature 4-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90:G90" headerRowCount="0" headerRowDxfId="109" dataDxfId="108" totalsRowDxfId="107">
  <tableColumns count="7">
    <tableColumn id="1" xr3:uid="{00000000-0010-0000-0800-000001000000}" name="Column1" dataDxfId="106"/>
    <tableColumn id="2" xr3:uid="{00000000-0010-0000-0800-000002000000}" name="Column2" dataDxfId="105"/>
    <tableColumn id="3" xr3:uid="{00000000-0010-0000-0800-000003000000}" name="Column3" dataDxfId="104"/>
    <tableColumn id="4" xr3:uid="{00000000-0010-0000-0800-000004000000}" name="Column4" dataDxfId="103"/>
    <tableColumn id="5" xr3:uid="{00000000-0010-0000-0800-000005000000}" name="Column5" dataDxfId="102"/>
    <tableColumn id="6" xr3:uid="{00000000-0010-0000-0800-000006000000}" name="Column6" dataDxfId="101"/>
    <tableColumn id="7" xr3:uid="{00000000-0010-0000-0800-000007000000}" name="Column7" dataDxfId="100"/>
  </tableColumns>
  <tableStyleInfo name="Feature 4-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93:G93" headerRowCount="0" headerRowDxfId="99" dataDxfId="98" totalsRowDxfId="97">
  <tableColumns count="7">
    <tableColumn id="1" xr3:uid="{00000000-0010-0000-0900-000001000000}" name="Column1" dataDxfId="96"/>
    <tableColumn id="2" xr3:uid="{00000000-0010-0000-0900-000002000000}" name="Column2" dataDxfId="95"/>
    <tableColumn id="3" xr3:uid="{00000000-0010-0000-0900-000003000000}" name="Column3" dataDxfId="94"/>
    <tableColumn id="4" xr3:uid="{00000000-0010-0000-0900-000004000000}" name="Column4" dataDxfId="93"/>
    <tableColumn id="5" xr3:uid="{00000000-0010-0000-0900-000005000000}" name="Column5" dataDxfId="92"/>
    <tableColumn id="6" xr3:uid="{00000000-0010-0000-0900-000006000000}" name="Column6" dataDxfId="91"/>
    <tableColumn id="7" xr3:uid="{00000000-0010-0000-0900-000007000000}" name="Column7" dataDxfId="90"/>
  </tableColumns>
  <tableStyleInfo name="Feature 4-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96:G96" headerRowCount="0" headerRowDxfId="89" dataDxfId="88" totalsRowDxfId="87">
  <tableColumns count="7">
    <tableColumn id="1" xr3:uid="{00000000-0010-0000-0A00-000001000000}" name="Column1" dataDxfId="86"/>
    <tableColumn id="2" xr3:uid="{00000000-0010-0000-0A00-000002000000}" name="Column2" dataDxfId="85"/>
    <tableColumn id="3" xr3:uid="{00000000-0010-0000-0A00-000003000000}" name="Column3" dataDxfId="84"/>
    <tableColumn id="4" xr3:uid="{00000000-0010-0000-0A00-000004000000}" name="Column4" dataDxfId="83"/>
    <tableColumn id="5" xr3:uid="{00000000-0010-0000-0A00-000005000000}" name="Column5" dataDxfId="82"/>
    <tableColumn id="6" xr3:uid="{00000000-0010-0000-0A00-000006000000}" name="Column6" dataDxfId="81"/>
    <tableColumn id="7" xr3:uid="{00000000-0010-0000-0A00-000007000000}" name="Column7" dataDxfId="80"/>
  </tableColumns>
  <tableStyleInfo name="Feature 4-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98:G98" headerRowCount="0" headerRowDxfId="79" dataDxfId="78" totalsRowDxfId="77">
  <tableColumns count="7">
    <tableColumn id="1" xr3:uid="{00000000-0010-0000-0B00-000001000000}" name="Column1" dataDxfId="76"/>
    <tableColumn id="2" xr3:uid="{00000000-0010-0000-0B00-000002000000}" name="Column2" dataDxfId="75"/>
    <tableColumn id="3" xr3:uid="{00000000-0010-0000-0B00-000003000000}" name="Column3" dataDxfId="74"/>
    <tableColumn id="4" xr3:uid="{00000000-0010-0000-0B00-000004000000}" name="Column4" dataDxfId="73"/>
    <tableColumn id="5" xr3:uid="{00000000-0010-0000-0B00-000005000000}" name="Column5" dataDxfId="72"/>
    <tableColumn id="6" xr3:uid="{00000000-0010-0000-0B00-000006000000}" name="Column6" dataDxfId="71"/>
    <tableColumn id="7" xr3:uid="{00000000-0010-0000-0B00-000007000000}" name="Column7" dataDxfId="70"/>
  </tableColumns>
  <tableStyleInfo name="Feature 4-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100:G100" headerRowCount="0" headerRowDxfId="69" dataDxfId="68" totalsRowDxfId="67">
  <tableColumns count="7">
    <tableColumn id="1" xr3:uid="{00000000-0010-0000-0C00-000001000000}" name="Column1" dataDxfId="66"/>
    <tableColumn id="2" xr3:uid="{00000000-0010-0000-0C00-000002000000}" name="Column2" dataDxfId="65"/>
    <tableColumn id="3" xr3:uid="{00000000-0010-0000-0C00-000003000000}" name="Column3" dataDxfId="64"/>
    <tableColumn id="4" xr3:uid="{00000000-0010-0000-0C00-000004000000}" name="Column4" dataDxfId="63"/>
    <tableColumn id="5" xr3:uid="{00000000-0010-0000-0C00-000005000000}" name="Column5" dataDxfId="62"/>
    <tableColumn id="6" xr3:uid="{00000000-0010-0000-0C00-000006000000}" name="Column6" dataDxfId="61"/>
    <tableColumn id="7" xr3:uid="{00000000-0010-0000-0C00-000007000000}" name="Column7" dataDxfId="60"/>
  </tableColumns>
  <tableStyleInfo name="Feature 4-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102:G102" headerRowCount="0" headerRowDxfId="59" dataDxfId="58" totalsRowDxfId="57">
  <tableColumns count="7">
    <tableColumn id="1" xr3:uid="{00000000-0010-0000-0D00-000001000000}" name="Column1" dataDxfId="56"/>
    <tableColumn id="2" xr3:uid="{00000000-0010-0000-0D00-000002000000}" name="Column2" dataDxfId="55"/>
    <tableColumn id="3" xr3:uid="{00000000-0010-0000-0D00-000003000000}" name="Column3" dataDxfId="54"/>
    <tableColumn id="4" xr3:uid="{00000000-0010-0000-0D00-000004000000}" name="Column4" dataDxfId="53"/>
    <tableColumn id="5" xr3:uid="{00000000-0010-0000-0D00-000005000000}" name="Column5" dataDxfId="52"/>
    <tableColumn id="6" xr3:uid="{00000000-0010-0000-0D00-000006000000}" name="Column6" dataDxfId="51"/>
    <tableColumn id="7" xr3:uid="{00000000-0010-0000-0D00-000007000000}" name="Column7" dataDxfId="50"/>
  </tableColumns>
  <tableStyleInfo name="Feature 4-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108:G108" headerRowCount="0" headerRowDxfId="49" dataDxfId="48" totalsRowDxfId="47">
  <tableColumns count="7">
    <tableColumn id="1" xr3:uid="{00000000-0010-0000-0F00-000001000000}" name="Column1" dataDxfId="46"/>
    <tableColumn id="2" xr3:uid="{00000000-0010-0000-0F00-000002000000}" name="Column2" dataDxfId="45"/>
    <tableColumn id="3" xr3:uid="{00000000-0010-0000-0F00-000003000000}" name="Column3" dataDxfId="44"/>
    <tableColumn id="4" xr3:uid="{00000000-0010-0000-0F00-000004000000}" name="Column4" dataDxfId="43"/>
    <tableColumn id="5" xr3:uid="{00000000-0010-0000-0F00-000005000000}" name="Column5" dataDxfId="42"/>
    <tableColumn id="6" xr3:uid="{00000000-0010-0000-0F00-000006000000}" name="Column6" dataDxfId="41"/>
    <tableColumn id="7" xr3:uid="{00000000-0010-0000-0F00-000007000000}" name="Column7" dataDxfId="40"/>
  </tableColumns>
  <tableStyleInfo name="Feature 4-style 1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111:G111" headerRowCount="0" headerRowDxfId="39" dataDxfId="38" totalsRowDxfId="37">
  <tableColumns count="7">
    <tableColumn id="1" xr3:uid="{00000000-0010-0000-1000-000001000000}" name="Column1" dataDxfId="36"/>
    <tableColumn id="2" xr3:uid="{00000000-0010-0000-1000-000002000000}" name="Column2" dataDxfId="35"/>
    <tableColumn id="3" xr3:uid="{00000000-0010-0000-1000-000003000000}" name="Column3" dataDxfId="34"/>
    <tableColumn id="4" xr3:uid="{00000000-0010-0000-1000-000004000000}" name="Column4" dataDxfId="33"/>
    <tableColumn id="5" xr3:uid="{00000000-0010-0000-1000-000005000000}" name="Column5" dataDxfId="32"/>
    <tableColumn id="6" xr3:uid="{00000000-0010-0000-1000-000006000000}" name="Column6" dataDxfId="31"/>
    <tableColumn id="7" xr3:uid="{00000000-0010-0000-1000-000007000000}" name="Column7" dataDxfId="30"/>
  </tableColumns>
  <tableStyleInfo name="Feature 4-style 14"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113:G113" headerRowCount="0" headerRowDxfId="29" dataDxfId="28" totalsRowDxfId="27">
  <tableColumns count="7">
    <tableColumn id="1" xr3:uid="{00000000-0010-0000-1100-000001000000}" name="Column1" dataDxfId="26"/>
    <tableColumn id="2" xr3:uid="{00000000-0010-0000-1100-000002000000}" name="Column2" dataDxfId="25"/>
    <tableColumn id="3" xr3:uid="{00000000-0010-0000-1100-000003000000}" name="Column3" dataDxfId="24"/>
    <tableColumn id="4" xr3:uid="{00000000-0010-0000-1100-000004000000}" name="Column4" dataDxfId="23"/>
    <tableColumn id="5" xr3:uid="{00000000-0010-0000-1100-000005000000}" name="Column5" dataDxfId="22"/>
    <tableColumn id="6" xr3:uid="{00000000-0010-0000-1100-000006000000}" name="Column6" dataDxfId="21"/>
    <tableColumn id="7" xr3:uid="{00000000-0010-0000-1100-000007000000}" name="Column7" dataDxfId="20"/>
  </tableColumns>
  <tableStyleInfo name="Feature 4-style 15"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115:G115" headerRowCount="0" headerRowDxfId="19" dataDxfId="18" totalsRowDxfId="17">
  <tableColumns count="7">
    <tableColumn id="1" xr3:uid="{00000000-0010-0000-1200-000001000000}" name="Column1" dataDxfId="16"/>
    <tableColumn id="2" xr3:uid="{00000000-0010-0000-1200-000002000000}" name="Column2" dataDxfId="15"/>
    <tableColumn id="3" xr3:uid="{00000000-0010-0000-1200-000003000000}" name="Column3" dataDxfId="14"/>
    <tableColumn id="4" xr3:uid="{00000000-0010-0000-1200-000004000000}" name="Column4" dataDxfId="13"/>
    <tableColumn id="5" xr3:uid="{00000000-0010-0000-1200-000005000000}" name="Column5" dataDxfId="12"/>
    <tableColumn id="6" xr3:uid="{00000000-0010-0000-1200-000006000000}" name="Column6" dataDxfId="11"/>
    <tableColumn id="7" xr3:uid="{00000000-0010-0000-1200-000007000000}" name="Column7" dataDxfId="10"/>
  </tableColumns>
  <tableStyleInfo name="Feature 4-style 16"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117:G117" headerRowCount="0" headerRowDxfId="9" dataDxfId="8" totalsRowDxfId="7">
  <tableColumns count="7">
    <tableColumn id="1" xr3:uid="{00000000-0010-0000-1300-000001000000}" name="Column1" dataDxfId="6"/>
    <tableColumn id="2" xr3:uid="{00000000-0010-0000-1300-000002000000}" name="Column2" dataDxfId="5"/>
    <tableColumn id="3" xr3:uid="{00000000-0010-0000-1300-000003000000}" name="Column3" dataDxfId="4"/>
    <tableColumn id="4" xr3:uid="{00000000-0010-0000-1300-000004000000}" name="Column4" dataDxfId="3"/>
    <tableColumn id="5" xr3:uid="{00000000-0010-0000-1300-000005000000}" name="Column5" dataDxfId="2"/>
    <tableColumn id="6" xr3:uid="{00000000-0010-0000-1300-000006000000}" name="Column6" dataDxfId="1"/>
    <tableColumn id="7" xr3:uid="{00000000-0010-0000-1300-000007000000}" name="Column7" dataDxfId="0"/>
  </tableColumns>
  <tableStyleInfo name="Feature 4-style 1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F14"/>
  <sheetViews>
    <sheetView zoomScale="70" zoomScaleNormal="70" workbookViewId="0">
      <selection activeCell="G13" sqref="G13"/>
    </sheetView>
  </sheetViews>
  <sheetFormatPr defaultColWidth="12.5703125" defaultRowHeight="15.75" customHeight="1"/>
  <cols>
    <col min="1" max="1" width="22.7109375" customWidth="1"/>
    <col min="3" max="3" width="49.28515625" customWidth="1"/>
    <col min="4" max="4" width="11.5703125" customWidth="1"/>
    <col min="5" max="5" width="31.7109375" customWidth="1"/>
  </cols>
  <sheetData>
    <row r="2" spans="1:6" ht="95.25" customHeight="1">
      <c r="A2" s="163" t="s">
        <v>0</v>
      </c>
      <c r="B2" s="164"/>
      <c r="C2" s="164"/>
      <c r="D2" s="164"/>
      <c r="E2" s="164"/>
      <c r="F2" s="165"/>
    </row>
    <row r="3" spans="1:6" ht="12.75">
      <c r="A3" s="1"/>
      <c r="B3" s="1"/>
      <c r="C3" s="1"/>
      <c r="D3" s="1"/>
      <c r="E3" s="1"/>
    </row>
    <row r="4" spans="1:6" ht="12.75">
      <c r="A4" s="2" t="s">
        <v>1</v>
      </c>
      <c r="B4" s="166" t="s">
        <v>92</v>
      </c>
      <c r="C4" s="164"/>
      <c r="D4" s="165"/>
      <c r="E4" s="2" t="s">
        <v>2</v>
      </c>
      <c r="F4" s="3" t="s">
        <v>93</v>
      </c>
    </row>
    <row r="5" spans="1:6" ht="12.75">
      <c r="A5" s="2" t="s">
        <v>3</v>
      </c>
      <c r="B5" s="166" t="s">
        <v>4</v>
      </c>
      <c r="C5" s="164"/>
      <c r="D5" s="165"/>
      <c r="E5" s="2" t="s">
        <v>5</v>
      </c>
      <c r="F5" s="4">
        <v>46185</v>
      </c>
    </row>
    <row r="6" spans="1:6" ht="12.75">
      <c r="A6" s="2" t="s">
        <v>6</v>
      </c>
      <c r="B6" s="166" t="s">
        <v>94</v>
      </c>
      <c r="C6" s="164"/>
      <c r="D6" s="165"/>
      <c r="E6" s="2" t="s">
        <v>7</v>
      </c>
      <c r="F6" s="5" t="s">
        <v>95</v>
      </c>
    </row>
    <row r="9" spans="1:6" ht="12.75">
      <c r="A9" s="1" t="s">
        <v>9</v>
      </c>
    </row>
    <row r="10" spans="1:6" ht="12.75">
      <c r="A10" s="140" t="s">
        <v>10</v>
      </c>
      <c r="B10" s="19" t="s">
        <v>7</v>
      </c>
      <c r="C10" s="19" t="s">
        <v>11</v>
      </c>
      <c r="D10" s="19" t="s">
        <v>12</v>
      </c>
      <c r="E10" s="19" t="s">
        <v>13</v>
      </c>
      <c r="F10" s="141" t="s">
        <v>14</v>
      </c>
    </row>
    <row r="11" spans="1:6" ht="77.25">
      <c r="A11" s="142">
        <v>46158</v>
      </c>
      <c r="B11" s="143" t="s">
        <v>15</v>
      </c>
      <c r="C11" s="144" t="s">
        <v>96</v>
      </c>
      <c r="D11" s="145" t="s">
        <v>16</v>
      </c>
      <c r="E11" s="146" t="s">
        <v>97</v>
      </c>
      <c r="F11" s="147" t="s">
        <v>26</v>
      </c>
    </row>
    <row r="12" spans="1:6" ht="64.5">
      <c r="A12" s="148">
        <v>46165</v>
      </c>
      <c r="B12" s="143" t="s">
        <v>17</v>
      </c>
      <c r="C12" s="149" t="s">
        <v>98</v>
      </c>
      <c r="D12" s="150" t="s">
        <v>16</v>
      </c>
      <c r="E12" s="151" t="s">
        <v>99</v>
      </c>
      <c r="F12" s="147" t="s">
        <v>27</v>
      </c>
    </row>
    <row r="13" spans="1:6" ht="77.25">
      <c r="A13" s="148">
        <v>46175</v>
      </c>
      <c r="B13" s="143" t="s">
        <v>19</v>
      </c>
      <c r="C13" s="149" t="s">
        <v>100</v>
      </c>
      <c r="D13" s="150" t="s">
        <v>18</v>
      </c>
      <c r="E13" s="151" t="s">
        <v>101</v>
      </c>
      <c r="F13" s="147" t="s">
        <v>28</v>
      </c>
    </row>
    <row r="14" spans="1:6" ht="90">
      <c r="A14" s="148">
        <v>46185</v>
      </c>
      <c r="B14" s="143" t="s">
        <v>8</v>
      </c>
      <c r="C14" s="149" t="s">
        <v>102</v>
      </c>
      <c r="D14" s="145" t="s">
        <v>18</v>
      </c>
      <c r="E14" s="151" t="s">
        <v>103</v>
      </c>
      <c r="F14" s="147" t="s">
        <v>29</v>
      </c>
    </row>
  </sheetData>
  <mergeCells count="4">
    <mergeCell ref="A2:F2"/>
    <mergeCell ref="B4:D4"/>
    <mergeCell ref="B5:D5"/>
    <mergeCell ref="B6:D6"/>
  </mergeCells>
  <phoneticPr fontId="22"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F159"/>
  <sheetViews>
    <sheetView zoomScale="115" zoomScaleNormal="115" workbookViewId="0">
      <selection activeCell="F144" sqref="F144"/>
    </sheetView>
  </sheetViews>
  <sheetFormatPr defaultColWidth="12.5703125" defaultRowHeight="15.75" customHeight="1"/>
  <cols>
    <col min="1" max="1" width="2.7109375" customWidth="1"/>
    <col min="2" max="2" width="5.42578125" customWidth="1"/>
    <col min="3" max="3" width="38.85546875" customWidth="1"/>
    <col min="4" max="4" width="10.42578125" customWidth="1"/>
    <col min="5" max="5" width="119" customWidth="1"/>
    <col min="6" max="6" width="47.28515625" customWidth="1"/>
  </cols>
  <sheetData>
    <row r="1" spans="1:6" ht="26.25">
      <c r="A1" s="1"/>
      <c r="B1" s="169" t="s">
        <v>104</v>
      </c>
      <c r="C1" s="170"/>
      <c r="D1" s="170"/>
      <c r="E1" s="170"/>
      <c r="F1" s="170"/>
    </row>
    <row r="2" spans="1:6" ht="12.75">
      <c r="B2" s="1"/>
      <c r="C2" s="170"/>
      <c r="D2" s="170"/>
      <c r="E2" s="170"/>
      <c r="F2" s="170"/>
    </row>
    <row r="3" spans="1:6" ht="12.75">
      <c r="B3" s="171" t="s">
        <v>1</v>
      </c>
      <c r="C3" s="165"/>
      <c r="D3" s="172" t="s">
        <v>92</v>
      </c>
      <c r="E3" s="164"/>
      <c r="F3" s="165"/>
    </row>
    <row r="4" spans="1:6" ht="12.75">
      <c r="B4" s="171" t="s">
        <v>3</v>
      </c>
      <c r="C4" s="165"/>
      <c r="D4" s="166" t="s">
        <v>4</v>
      </c>
      <c r="E4" s="164"/>
      <c r="F4" s="165"/>
    </row>
    <row r="5" spans="1:6" ht="12.75">
      <c r="B5" s="167" t="s">
        <v>20</v>
      </c>
      <c r="C5" s="165"/>
      <c r="D5" s="168" t="s">
        <v>105</v>
      </c>
      <c r="E5" s="164"/>
      <c r="F5" s="165"/>
    </row>
    <row r="8" spans="1:6" ht="22.5" customHeight="1" thickBot="1">
      <c r="B8" s="6" t="s">
        <v>21</v>
      </c>
      <c r="C8" s="7" t="s">
        <v>22</v>
      </c>
      <c r="D8" s="7" t="s">
        <v>23</v>
      </c>
      <c r="E8" s="7" t="s">
        <v>24</v>
      </c>
      <c r="F8" s="7" t="s">
        <v>25</v>
      </c>
    </row>
    <row r="9" spans="1:6" ht="22.5" customHeight="1" thickBot="1">
      <c r="B9" s="60">
        <v>1</v>
      </c>
      <c r="C9" s="61" t="s">
        <v>106</v>
      </c>
      <c r="D9" s="62" t="s">
        <v>26</v>
      </c>
      <c r="E9" s="63" t="s">
        <v>107</v>
      </c>
      <c r="F9" s="9"/>
    </row>
    <row r="10" spans="1:6" ht="22.5" customHeight="1" thickBot="1">
      <c r="B10" s="60">
        <v>2</v>
      </c>
      <c r="C10" s="61" t="s">
        <v>108</v>
      </c>
      <c r="D10" s="62" t="s">
        <v>26</v>
      </c>
      <c r="E10" s="63" t="s">
        <v>109</v>
      </c>
      <c r="F10" s="9"/>
    </row>
    <row r="11" spans="1:6" ht="22.5" customHeight="1" thickBot="1">
      <c r="B11" s="60">
        <v>3</v>
      </c>
      <c r="C11" s="61" t="s">
        <v>110</v>
      </c>
      <c r="D11" s="62" t="s">
        <v>26</v>
      </c>
      <c r="E11" s="63" t="s">
        <v>111</v>
      </c>
      <c r="F11" s="9"/>
    </row>
    <row r="12" spans="1:6" ht="22.5" customHeight="1" thickBot="1">
      <c r="B12" s="60">
        <v>4</v>
      </c>
      <c r="C12" s="61" t="s">
        <v>112</v>
      </c>
      <c r="D12" s="62" t="s">
        <v>26</v>
      </c>
      <c r="E12" s="63" t="s">
        <v>113</v>
      </c>
      <c r="F12" s="9"/>
    </row>
    <row r="13" spans="1:6" ht="22.5" customHeight="1" thickBot="1">
      <c r="B13" s="60">
        <v>5</v>
      </c>
      <c r="C13" s="61" t="s">
        <v>114</v>
      </c>
      <c r="D13" s="62" t="s">
        <v>26</v>
      </c>
      <c r="E13" s="63" t="s">
        <v>115</v>
      </c>
      <c r="F13" s="9"/>
    </row>
    <row r="14" spans="1:6" ht="22.5" customHeight="1" thickBot="1">
      <c r="B14" s="60">
        <v>6</v>
      </c>
      <c r="C14" s="61" t="s">
        <v>116</v>
      </c>
      <c r="D14" s="62" t="s">
        <v>26</v>
      </c>
      <c r="E14" s="63" t="s">
        <v>117</v>
      </c>
      <c r="F14" s="9"/>
    </row>
    <row r="15" spans="1:6" ht="22.5" customHeight="1" thickBot="1">
      <c r="B15" s="60">
        <v>7</v>
      </c>
      <c r="C15" s="61" t="s">
        <v>118</v>
      </c>
      <c r="D15" s="62" t="s">
        <v>26</v>
      </c>
      <c r="E15" s="63" t="s">
        <v>119</v>
      </c>
      <c r="F15" s="9"/>
    </row>
    <row r="16" spans="1:6" ht="22.5" customHeight="1" thickBot="1">
      <c r="B16" s="60">
        <v>8</v>
      </c>
      <c r="C16" s="61" t="s">
        <v>120</v>
      </c>
      <c r="D16" s="62" t="s">
        <v>26</v>
      </c>
      <c r="E16" s="63" t="s">
        <v>121</v>
      </c>
      <c r="F16" s="9"/>
    </row>
    <row r="17" spans="2:6" ht="22.5" customHeight="1" thickBot="1">
      <c r="B17" s="60">
        <v>9</v>
      </c>
      <c r="C17" s="61" t="s">
        <v>122</v>
      </c>
      <c r="D17" s="62" t="s">
        <v>26</v>
      </c>
      <c r="E17" s="63" t="s">
        <v>123</v>
      </c>
      <c r="F17" s="9"/>
    </row>
    <row r="18" spans="2:6" ht="22.5" customHeight="1" thickBot="1">
      <c r="B18" s="60">
        <v>10</v>
      </c>
      <c r="C18" s="61" t="s">
        <v>124</v>
      </c>
      <c r="D18" s="62" t="s">
        <v>26</v>
      </c>
      <c r="E18" s="63" t="s">
        <v>125</v>
      </c>
      <c r="F18" s="9"/>
    </row>
    <row r="19" spans="2:6" ht="22.5" customHeight="1" thickBot="1">
      <c r="B19" s="60">
        <v>11</v>
      </c>
      <c r="C19" s="61" t="s">
        <v>126</v>
      </c>
      <c r="D19" s="62" t="s">
        <v>26</v>
      </c>
      <c r="E19" s="63" t="s">
        <v>127</v>
      </c>
      <c r="F19" s="9"/>
    </row>
    <row r="20" spans="2:6" ht="22.5" customHeight="1" thickBot="1">
      <c r="B20" s="60">
        <v>12</v>
      </c>
      <c r="C20" s="61" t="s">
        <v>128</v>
      </c>
      <c r="D20" s="62" t="s">
        <v>26</v>
      </c>
      <c r="E20" s="63" t="s">
        <v>129</v>
      </c>
      <c r="F20" s="9"/>
    </row>
    <row r="21" spans="2:6" ht="22.5" customHeight="1" thickBot="1">
      <c r="B21" s="60">
        <v>13</v>
      </c>
      <c r="C21" s="61" t="s">
        <v>130</v>
      </c>
      <c r="D21" s="62" t="s">
        <v>26</v>
      </c>
      <c r="E21" s="63" t="s">
        <v>131</v>
      </c>
      <c r="F21" s="9"/>
    </row>
    <row r="22" spans="2:6" ht="22.5" customHeight="1" thickBot="1">
      <c r="B22" s="60">
        <v>14</v>
      </c>
      <c r="C22" s="61" t="s">
        <v>132</v>
      </c>
      <c r="D22" s="62" t="s">
        <v>26</v>
      </c>
      <c r="E22" s="63" t="s">
        <v>133</v>
      </c>
      <c r="F22" s="9"/>
    </row>
    <row r="23" spans="2:6" ht="22.5" customHeight="1" thickBot="1">
      <c r="B23" s="60">
        <v>15</v>
      </c>
      <c r="C23" s="61" t="s">
        <v>134</v>
      </c>
      <c r="D23" s="62" t="s">
        <v>26</v>
      </c>
      <c r="E23" s="63" t="s">
        <v>135</v>
      </c>
      <c r="F23" s="9"/>
    </row>
    <row r="24" spans="2:6" ht="22.5" customHeight="1" thickBot="1">
      <c r="B24" s="60">
        <v>16</v>
      </c>
      <c r="C24" s="61" t="s">
        <v>136</v>
      </c>
      <c r="D24" s="62" t="s">
        <v>26</v>
      </c>
      <c r="E24" s="63" t="s">
        <v>137</v>
      </c>
      <c r="F24" s="9"/>
    </row>
    <row r="25" spans="2:6" ht="22.5" customHeight="1" thickBot="1">
      <c r="B25" s="60">
        <v>17</v>
      </c>
      <c r="C25" s="61" t="s">
        <v>138</v>
      </c>
      <c r="D25" s="62" t="s">
        <v>26</v>
      </c>
      <c r="E25" s="63" t="s">
        <v>139</v>
      </c>
      <c r="F25" s="9"/>
    </row>
    <row r="26" spans="2:6" ht="22.5" customHeight="1" thickBot="1">
      <c r="B26" s="64">
        <v>18</v>
      </c>
      <c r="C26" s="65" t="s">
        <v>140</v>
      </c>
      <c r="D26" s="66" t="s">
        <v>26</v>
      </c>
      <c r="E26" s="67" t="s">
        <v>141</v>
      </c>
      <c r="F26" s="9"/>
    </row>
    <row r="27" spans="2:6" ht="22.5" customHeight="1" thickBot="1">
      <c r="B27" s="8">
        <v>19</v>
      </c>
      <c r="C27" s="61" t="s">
        <v>142</v>
      </c>
      <c r="D27" s="62" t="s">
        <v>27</v>
      </c>
      <c r="E27" s="63" t="s">
        <v>143</v>
      </c>
      <c r="F27" s="9"/>
    </row>
    <row r="28" spans="2:6" ht="22.5" customHeight="1" thickBot="1">
      <c r="B28" s="8">
        <v>20</v>
      </c>
      <c r="C28" s="61" t="s">
        <v>144</v>
      </c>
      <c r="D28" s="62" t="s">
        <v>27</v>
      </c>
      <c r="E28" s="63" t="s">
        <v>145</v>
      </c>
      <c r="F28" s="9"/>
    </row>
    <row r="29" spans="2:6" ht="22.5" customHeight="1" thickBot="1">
      <c r="B29" s="8">
        <v>21</v>
      </c>
      <c r="C29" s="61" t="s">
        <v>146</v>
      </c>
      <c r="D29" s="62" t="s">
        <v>27</v>
      </c>
      <c r="E29" s="63" t="s">
        <v>147</v>
      </c>
      <c r="F29" s="9"/>
    </row>
    <row r="30" spans="2:6" ht="22.5" customHeight="1" thickBot="1">
      <c r="B30" s="8">
        <v>22</v>
      </c>
      <c r="C30" s="61" t="s">
        <v>148</v>
      </c>
      <c r="D30" s="62" t="s">
        <v>27</v>
      </c>
      <c r="E30" s="63" t="s">
        <v>149</v>
      </c>
      <c r="F30" s="9"/>
    </row>
    <row r="31" spans="2:6" ht="22.5" customHeight="1" thickBot="1">
      <c r="B31" s="8">
        <v>23</v>
      </c>
      <c r="C31" s="61" t="s">
        <v>150</v>
      </c>
      <c r="D31" s="62" t="s">
        <v>27</v>
      </c>
      <c r="E31" s="63" t="s">
        <v>151</v>
      </c>
      <c r="F31" s="9"/>
    </row>
    <row r="32" spans="2:6" ht="22.5" customHeight="1" thickBot="1">
      <c r="B32" s="8">
        <v>24</v>
      </c>
      <c r="C32" s="61" t="s">
        <v>152</v>
      </c>
      <c r="D32" s="62" t="s">
        <v>27</v>
      </c>
      <c r="E32" s="63" t="s">
        <v>153</v>
      </c>
      <c r="F32" s="9"/>
    </row>
    <row r="33" spans="2:6" ht="22.5" customHeight="1" thickBot="1">
      <c r="B33" s="8">
        <v>25</v>
      </c>
      <c r="C33" s="61" t="s">
        <v>154</v>
      </c>
      <c r="D33" s="62" t="s">
        <v>27</v>
      </c>
      <c r="E33" s="63" t="s">
        <v>155</v>
      </c>
      <c r="F33" s="9"/>
    </row>
    <row r="34" spans="2:6" ht="22.5" customHeight="1" thickBot="1">
      <c r="B34" s="8">
        <v>26</v>
      </c>
      <c r="C34" s="61" t="s">
        <v>156</v>
      </c>
      <c r="D34" s="62" t="s">
        <v>27</v>
      </c>
      <c r="E34" s="63" t="s">
        <v>157</v>
      </c>
      <c r="F34" s="9"/>
    </row>
    <row r="35" spans="2:6" ht="22.5" customHeight="1" thickBot="1">
      <c r="B35" s="8">
        <v>27</v>
      </c>
      <c r="C35" s="61" t="s">
        <v>158</v>
      </c>
      <c r="D35" s="62" t="s">
        <v>27</v>
      </c>
      <c r="E35" s="63" t="s">
        <v>159</v>
      </c>
      <c r="F35" s="9"/>
    </row>
    <row r="36" spans="2:6" ht="22.5" customHeight="1" thickBot="1">
      <c r="B36" s="8">
        <v>28</v>
      </c>
      <c r="C36" s="61" t="s">
        <v>160</v>
      </c>
      <c r="D36" s="62" t="s">
        <v>27</v>
      </c>
      <c r="E36" s="63" t="s">
        <v>161</v>
      </c>
      <c r="F36" s="9"/>
    </row>
    <row r="37" spans="2:6" ht="22.5" customHeight="1" thickBot="1">
      <c r="B37" s="8">
        <v>29</v>
      </c>
      <c r="C37" s="61" t="s">
        <v>162</v>
      </c>
      <c r="D37" s="62" t="s">
        <v>27</v>
      </c>
      <c r="E37" s="63" t="s">
        <v>163</v>
      </c>
      <c r="F37" s="9"/>
    </row>
    <row r="38" spans="2:6" ht="22.5" customHeight="1" thickBot="1">
      <c r="B38" s="8">
        <v>30</v>
      </c>
      <c r="C38" s="61" t="s">
        <v>164</v>
      </c>
      <c r="D38" s="62" t="s">
        <v>27</v>
      </c>
      <c r="E38" s="63" t="s">
        <v>165</v>
      </c>
      <c r="F38" s="9"/>
    </row>
    <row r="39" spans="2:6" ht="22.5" customHeight="1" thickBot="1">
      <c r="B39" s="8">
        <v>31</v>
      </c>
      <c r="C39" s="61" t="s">
        <v>166</v>
      </c>
      <c r="D39" s="62" t="s">
        <v>27</v>
      </c>
      <c r="E39" s="63" t="s">
        <v>167</v>
      </c>
      <c r="F39" s="9"/>
    </row>
    <row r="40" spans="2:6" ht="22.5" customHeight="1" thickBot="1">
      <c r="B40" s="8">
        <v>32</v>
      </c>
      <c r="C40" s="61" t="s">
        <v>168</v>
      </c>
      <c r="D40" s="62" t="s">
        <v>27</v>
      </c>
      <c r="E40" s="63" t="s">
        <v>169</v>
      </c>
      <c r="F40" s="9"/>
    </row>
    <row r="41" spans="2:6" ht="22.5" customHeight="1" thickBot="1">
      <c r="B41" s="8">
        <v>33</v>
      </c>
      <c r="C41" s="61" t="s">
        <v>170</v>
      </c>
      <c r="D41" s="62" t="s">
        <v>27</v>
      </c>
      <c r="E41" s="63" t="s">
        <v>171</v>
      </c>
      <c r="F41" s="9"/>
    </row>
    <row r="42" spans="2:6" ht="22.5" customHeight="1" thickBot="1">
      <c r="B42" s="8">
        <v>34</v>
      </c>
      <c r="C42" s="61" t="s">
        <v>172</v>
      </c>
      <c r="D42" s="62" t="s">
        <v>27</v>
      </c>
      <c r="E42" s="63" t="s">
        <v>173</v>
      </c>
      <c r="F42" s="9"/>
    </row>
    <row r="43" spans="2:6" ht="22.5" customHeight="1" thickBot="1">
      <c r="B43" s="8">
        <v>35</v>
      </c>
      <c r="C43" s="61" t="s">
        <v>174</v>
      </c>
      <c r="D43" s="62" t="s">
        <v>27</v>
      </c>
      <c r="E43" s="63" t="s">
        <v>175</v>
      </c>
      <c r="F43" s="9"/>
    </row>
    <row r="44" spans="2:6" ht="22.5" customHeight="1" thickBot="1">
      <c r="B44" s="8">
        <v>36</v>
      </c>
      <c r="C44" s="61" t="s">
        <v>176</v>
      </c>
      <c r="D44" s="62" t="s">
        <v>27</v>
      </c>
      <c r="E44" s="63" t="s">
        <v>177</v>
      </c>
      <c r="F44" s="9"/>
    </row>
    <row r="45" spans="2:6" ht="22.5" customHeight="1" thickBot="1">
      <c r="B45" s="8">
        <v>37</v>
      </c>
      <c r="C45" s="61" t="s">
        <v>178</v>
      </c>
      <c r="D45" s="62" t="s">
        <v>27</v>
      </c>
      <c r="E45" s="63" t="s">
        <v>179</v>
      </c>
      <c r="F45" s="9"/>
    </row>
    <row r="46" spans="2:6" ht="22.5" customHeight="1" thickBot="1">
      <c r="B46" s="8">
        <v>38</v>
      </c>
      <c r="C46" s="65" t="s">
        <v>180</v>
      </c>
      <c r="D46" s="66" t="s">
        <v>27</v>
      </c>
      <c r="E46" s="67" t="s">
        <v>181</v>
      </c>
      <c r="F46" s="9"/>
    </row>
    <row r="47" spans="2:6" ht="22.5" customHeight="1" thickBot="1">
      <c r="B47" s="8">
        <v>39</v>
      </c>
      <c r="C47" s="61" t="s">
        <v>182</v>
      </c>
      <c r="D47" s="62" t="s">
        <v>28</v>
      </c>
      <c r="E47" s="63" t="s">
        <v>183</v>
      </c>
      <c r="F47" s="9"/>
    </row>
    <row r="48" spans="2:6" ht="22.5" customHeight="1" thickBot="1">
      <c r="B48" s="8">
        <v>40</v>
      </c>
      <c r="C48" s="61" t="s">
        <v>184</v>
      </c>
      <c r="D48" s="62" t="s">
        <v>28</v>
      </c>
      <c r="E48" s="63" t="s">
        <v>185</v>
      </c>
      <c r="F48" s="9"/>
    </row>
    <row r="49" spans="2:6" ht="22.5" customHeight="1" thickBot="1">
      <c r="B49" s="8">
        <v>41</v>
      </c>
      <c r="C49" s="61" t="s">
        <v>186</v>
      </c>
      <c r="D49" s="62" t="s">
        <v>28</v>
      </c>
      <c r="E49" s="63" t="s">
        <v>187</v>
      </c>
      <c r="F49" s="9"/>
    </row>
    <row r="50" spans="2:6" ht="22.5" customHeight="1" thickBot="1">
      <c r="B50" s="8">
        <v>42</v>
      </c>
      <c r="C50" s="61" t="s">
        <v>188</v>
      </c>
      <c r="D50" s="62" t="s">
        <v>28</v>
      </c>
      <c r="E50" s="63" t="s">
        <v>189</v>
      </c>
      <c r="F50" s="9"/>
    </row>
    <row r="51" spans="2:6" ht="22.5" customHeight="1" thickBot="1">
      <c r="B51" s="8">
        <v>43</v>
      </c>
      <c r="C51" s="61" t="s">
        <v>190</v>
      </c>
      <c r="D51" s="62" t="s">
        <v>28</v>
      </c>
      <c r="E51" s="63" t="s">
        <v>191</v>
      </c>
      <c r="F51" s="9"/>
    </row>
    <row r="52" spans="2:6" ht="22.5" customHeight="1" thickBot="1">
      <c r="B52" s="8">
        <v>44</v>
      </c>
      <c r="C52" s="61" t="s">
        <v>192</v>
      </c>
      <c r="D52" s="62" t="s">
        <v>28</v>
      </c>
      <c r="E52" s="63" t="s">
        <v>193</v>
      </c>
      <c r="F52" s="9"/>
    </row>
    <row r="53" spans="2:6" ht="22.5" customHeight="1" thickBot="1">
      <c r="B53" s="8">
        <v>45</v>
      </c>
      <c r="C53" s="61" t="s">
        <v>194</v>
      </c>
      <c r="D53" s="62" t="s">
        <v>28</v>
      </c>
      <c r="E53" s="63" t="s">
        <v>195</v>
      </c>
      <c r="F53" s="9"/>
    </row>
    <row r="54" spans="2:6" ht="22.5" customHeight="1" thickBot="1">
      <c r="B54" s="8">
        <v>46</v>
      </c>
      <c r="C54" s="61" t="s">
        <v>196</v>
      </c>
      <c r="D54" s="62" t="s">
        <v>28</v>
      </c>
      <c r="E54" s="63" t="s">
        <v>197</v>
      </c>
      <c r="F54" s="9"/>
    </row>
    <row r="55" spans="2:6" ht="22.5" customHeight="1" thickBot="1">
      <c r="B55" s="8">
        <v>47</v>
      </c>
      <c r="C55" s="61" t="s">
        <v>198</v>
      </c>
      <c r="D55" s="62" t="s">
        <v>28</v>
      </c>
      <c r="E55" s="63" t="s">
        <v>199</v>
      </c>
      <c r="F55" s="9"/>
    </row>
    <row r="56" spans="2:6" ht="22.5" customHeight="1" thickBot="1">
      <c r="B56" s="8">
        <v>48</v>
      </c>
      <c r="C56" s="61" t="s">
        <v>200</v>
      </c>
      <c r="D56" s="62" t="s">
        <v>28</v>
      </c>
      <c r="E56" s="63" t="s">
        <v>201</v>
      </c>
      <c r="F56" s="9"/>
    </row>
    <row r="57" spans="2:6" ht="22.5" customHeight="1" thickBot="1">
      <c r="B57" s="8">
        <v>49</v>
      </c>
      <c r="C57" s="61" t="s">
        <v>202</v>
      </c>
      <c r="D57" s="62" t="s">
        <v>28</v>
      </c>
      <c r="E57" s="63" t="s">
        <v>203</v>
      </c>
      <c r="F57" s="9"/>
    </row>
    <row r="58" spans="2:6" ht="22.5" customHeight="1" thickBot="1">
      <c r="B58" s="8">
        <v>50</v>
      </c>
      <c r="C58" s="61" t="s">
        <v>204</v>
      </c>
      <c r="D58" s="62" t="s">
        <v>28</v>
      </c>
      <c r="E58" s="63" t="s">
        <v>205</v>
      </c>
      <c r="F58" s="9"/>
    </row>
    <row r="59" spans="2:6" ht="22.5" customHeight="1" thickBot="1">
      <c r="B59" s="8">
        <v>51</v>
      </c>
      <c r="C59" s="61" t="s">
        <v>206</v>
      </c>
      <c r="D59" s="62" t="s">
        <v>28</v>
      </c>
      <c r="E59" s="63" t="s">
        <v>207</v>
      </c>
      <c r="F59" s="9"/>
    </row>
    <row r="60" spans="2:6" ht="22.5" customHeight="1" thickBot="1">
      <c r="B60" s="8">
        <v>52</v>
      </c>
      <c r="C60" s="61" t="s">
        <v>208</v>
      </c>
      <c r="D60" s="62" t="s">
        <v>28</v>
      </c>
      <c r="E60" s="63" t="s">
        <v>209</v>
      </c>
      <c r="F60" s="9"/>
    </row>
    <row r="61" spans="2:6" ht="22.5" customHeight="1" thickBot="1">
      <c r="B61" s="8">
        <v>53</v>
      </c>
      <c r="C61" s="61" t="s">
        <v>210</v>
      </c>
      <c r="D61" s="62" t="s">
        <v>28</v>
      </c>
      <c r="E61" s="63" t="s">
        <v>211</v>
      </c>
      <c r="F61" s="9"/>
    </row>
    <row r="62" spans="2:6" ht="22.5" customHeight="1" thickBot="1">
      <c r="B62" s="8">
        <v>54</v>
      </c>
      <c r="C62" s="61" t="s">
        <v>212</v>
      </c>
      <c r="D62" s="62" t="s">
        <v>28</v>
      </c>
      <c r="E62" s="63" t="s">
        <v>213</v>
      </c>
      <c r="F62" s="9"/>
    </row>
    <row r="63" spans="2:6" ht="22.5" customHeight="1" thickBot="1">
      <c r="B63" s="8">
        <v>55</v>
      </c>
      <c r="C63" s="61" t="s">
        <v>214</v>
      </c>
      <c r="D63" s="62" t="s">
        <v>28</v>
      </c>
      <c r="E63" s="63" t="s">
        <v>215</v>
      </c>
      <c r="F63" s="9"/>
    </row>
    <row r="64" spans="2:6" ht="22.5" customHeight="1" thickBot="1">
      <c r="B64" s="8">
        <v>56</v>
      </c>
      <c r="C64" s="61" t="s">
        <v>216</v>
      </c>
      <c r="D64" s="62" t="s">
        <v>28</v>
      </c>
      <c r="E64" s="63" t="s">
        <v>217</v>
      </c>
      <c r="F64" s="9"/>
    </row>
    <row r="65" spans="2:6" ht="22.5" customHeight="1" thickBot="1">
      <c r="B65" s="8">
        <v>57</v>
      </c>
      <c r="C65" s="61" t="s">
        <v>218</v>
      </c>
      <c r="D65" s="62" t="s">
        <v>28</v>
      </c>
      <c r="E65" s="63" t="s">
        <v>219</v>
      </c>
      <c r="F65" s="9"/>
    </row>
    <row r="66" spans="2:6" ht="22.5" customHeight="1" thickBot="1">
      <c r="B66" s="8">
        <v>58</v>
      </c>
      <c r="C66" s="61" t="s">
        <v>220</v>
      </c>
      <c r="D66" s="62" t="s">
        <v>28</v>
      </c>
      <c r="E66" s="63" t="s">
        <v>221</v>
      </c>
      <c r="F66" s="9"/>
    </row>
    <row r="67" spans="2:6" ht="22.5" customHeight="1" thickBot="1">
      <c r="B67" s="8">
        <v>59</v>
      </c>
      <c r="C67" s="61" t="s">
        <v>222</v>
      </c>
      <c r="D67" s="62" t="s">
        <v>28</v>
      </c>
      <c r="E67" s="63" t="s">
        <v>223</v>
      </c>
      <c r="F67" s="9"/>
    </row>
    <row r="68" spans="2:6" ht="22.5" customHeight="1" thickBot="1">
      <c r="B68" s="8">
        <v>60</v>
      </c>
      <c r="C68" s="61" t="s">
        <v>224</v>
      </c>
      <c r="D68" s="62" t="s">
        <v>28</v>
      </c>
      <c r="E68" s="63" t="s">
        <v>225</v>
      </c>
      <c r="F68" s="9"/>
    </row>
    <row r="69" spans="2:6" ht="22.5" customHeight="1" thickBot="1">
      <c r="B69" s="8">
        <v>61</v>
      </c>
      <c r="C69" s="61" t="s">
        <v>226</v>
      </c>
      <c r="D69" s="62" t="s">
        <v>28</v>
      </c>
      <c r="E69" s="63" t="s">
        <v>227</v>
      </c>
      <c r="F69" s="9"/>
    </row>
    <row r="70" spans="2:6" ht="22.5" customHeight="1" thickBot="1">
      <c r="B70" s="8">
        <v>62</v>
      </c>
      <c r="C70" s="61" t="s">
        <v>228</v>
      </c>
      <c r="D70" s="62" t="s">
        <v>28</v>
      </c>
      <c r="E70" s="63" t="s">
        <v>229</v>
      </c>
      <c r="F70" s="9"/>
    </row>
    <row r="71" spans="2:6" ht="22.5" customHeight="1" thickBot="1">
      <c r="B71" s="8">
        <v>63</v>
      </c>
      <c r="C71" s="61" t="s">
        <v>230</v>
      </c>
      <c r="D71" s="62" t="s">
        <v>28</v>
      </c>
      <c r="E71" s="63" t="s">
        <v>231</v>
      </c>
      <c r="F71" s="9"/>
    </row>
    <row r="72" spans="2:6" ht="22.5" customHeight="1" thickBot="1">
      <c r="B72" s="8">
        <v>64</v>
      </c>
      <c r="C72" s="61" t="s">
        <v>232</v>
      </c>
      <c r="D72" s="62" t="s">
        <v>28</v>
      </c>
      <c r="E72" s="63" t="s">
        <v>233</v>
      </c>
      <c r="F72" s="9"/>
    </row>
    <row r="73" spans="2:6" ht="22.5" customHeight="1" thickBot="1">
      <c r="B73" s="8">
        <v>65</v>
      </c>
      <c r="C73" s="61" t="s">
        <v>234</v>
      </c>
      <c r="D73" s="62" t="s">
        <v>28</v>
      </c>
      <c r="E73" s="63" t="s">
        <v>235</v>
      </c>
      <c r="F73" s="9"/>
    </row>
    <row r="74" spans="2:6" ht="22.5" customHeight="1" thickBot="1">
      <c r="B74" s="8">
        <v>66</v>
      </c>
      <c r="C74" s="61" t="s">
        <v>236</v>
      </c>
      <c r="D74" s="62" t="s">
        <v>28</v>
      </c>
      <c r="E74" s="63" t="s">
        <v>237</v>
      </c>
      <c r="F74" s="9"/>
    </row>
    <row r="75" spans="2:6" ht="22.5" customHeight="1" thickBot="1">
      <c r="B75" s="8">
        <v>67</v>
      </c>
      <c r="C75" s="61" t="s">
        <v>238</v>
      </c>
      <c r="D75" s="62" t="s">
        <v>28</v>
      </c>
      <c r="E75" s="63" t="s">
        <v>239</v>
      </c>
      <c r="F75" s="9"/>
    </row>
    <row r="76" spans="2:6" ht="22.5" customHeight="1" thickBot="1">
      <c r="B76" s="8">
        <v>68</v>
      </c>
      <c r="C76" s="61" t="s">
        <v>240</v>
      </c>
      <c r="D76" s="62" t="s">
        <v>28</v>
      </c>
      <c r="E76" s="63" t="s">
        <v>241</v>
      </c>
      <c r="F76" s="9"/>
    </row>
    <row r="77" spans="2:6" ht="22.5" customHeight="1" thickBot="1">
      <c r="B77" s="8">
        <v>69</v>
      </c>
      <c r="C77" s="61" t="s">
        <v>242</v>
      </c>
      <c r="D77" s="62" t="s">
        <v>28</v>
      </c>
      <c r="E77" s="63" t="s">
        <v>243</v>
      </c>
      <c r="F77" s="9"/>
    </row>
    <row r="78" spans="2:6" ht="22.5" customHeight="1" thickBot="1">
      <c r="B78" s="8">
        <v>70</v>
      </c>
      <c r="C78" s="61" t="s">
        <v>244</v>
      </c>
      <c r="D78" s="62" t="s">
        <v>28</v>
      </c>
      <c r="E78" s="63" t="s">
        <v>245</v>
      </c>
      <c r="F78" s="9"/>
    </row>
    <row r="79" spans="2:6" ht="22.5" customHeight="1" thickBot="1">
      <c r="B79" s="8">
        <v>71</v>
      </c>
      <c r="C79" s="61" t="s">
        <v>246</v>
      </c>
      <c r="D79" s="62" t="s">
        <v>28</v>
      </c>
      <c r="E79" s="63" t="s">
        <v>247</v>
      </c>
      <c r="F79" s="9"/>
    </row>
    <row r="80" spans="2:6" ht="22.5" customHeight="1" thickBot="1">
      <c r="B80" s="8">
        <v>72</v>
      </c>
      <c r="C80" s="61" t="s">
        <v>248</v>
      </c>
      <c r="D80" s="62" t="s">
        <v>28</v>
      </c>
      <c r="E80" s="63" t="s">
        <v>249</v>
      </c>
      <c r="F80" s="9"/>
    </row>
    <row r="81" spans="2:6" ht="22.5" customHeight="1" thickBot="1">
      <c r="B81" s="8">
        <v>73</v>
      </c>
      <c r="C81" s="61" t="s">
        <v>250</v>
      </c>
      <c r="D81" s="62" t="s">
        <v>28</v>
      </c>
      <c r="E81" s="63" t="s">
        <v>251</v>
      </c>
      <c r="F81" s="9"/>
    </row>
    <row r="82" spans="2:6" ht="22.5" customHeight="1" thickBot="1">
      <c r="B82" s="8">
        <v>74</v>
      </c>
      <c r="C82" s="61" t="s">
        <v>252</v>
      </c>
      <c r="D82" s="62" t="s">
        <v>28</v>
      </c>
      <c r="E82" s="63" t="s">
        <v>253</v>
      </c>
      <c r="F82" s="9"/>
    </row>
    <row r="83" spans="2:6" ht="22.5" customHeight="1" thickBot="1">
      <c r="B83" s="8">
        <v>75</v>
      </c>
      <c r="C83" s="61" t="s">
        <v>254</v>
      </c>
      <c r="D83" s="62" t="s">
        <v>28</v>
      </c>
      <c r="E83" s="63" t="s">
        <v>255</v>
      </c>
      <c r="F83" s="9"/>
    </row>
    <row r="84" spans="2:6" ht="22.5" customHeight="1" thickBot="1">
      <c r="B84" s="8">
        <v>76</v>
      </c>
      <c r="C84" s="61" t="s">
        <v>256</v>
      </c>
      <c r="D84" s="62" t="s">
        <v>28</v>
      </c>
      <c r="E84" s="63" t="s">
        <v>257</v>
      </c>
      <c r="F84" s="9"/>
    </row>
    <row r="85" spans="2:6" ht="22.5" customHeight="1" thickBot="1">
      <c r="B85" s="8">
        <v>77</v>
      </c>
      <c r="C85" s="61" t="s">
        <v>258</v>
      </c>
      <c r="D85" s="62" t="s">
        <v>28</v>
      </c>
      <c r="E85" s="63" t="s">
        <v>259</v>
      </c>
      <c r="F85" s="9"/>
    </row>
    <row r="86" spans="2:6" ht="22.5" customHeight="1" thickBot="1">
      <c r="B86" s="8">
        <v>78</v>
      </c>
      <c r="C86" s="61" t="s">
        <v>260</v>
      </c>
      <c r="D86" s="62" t="s">
        <v>28</v>
      </c>
      <c r="E86" s="63" t="s">
        <v>261</v>
      </c>
      <c r="F86" s="9"/>
    </row>
    <row r="87" spans="2:6" ht="22.5" customHeight="1" thickBot="1">
      <c r="B87" s="8">
        <v>79</v>
      </c>
      <c r="C87" s="61" t="s">
        <v>262</v>
      </c>
      <c r="D87" s="62" t="s">
        <v>28</v>
      </c>
      <c r="E87" s="63" t="s">
        <v>263</v>
      </c>
      <c r="F87" s="9"/>
    </row>
    <row r="88" spans="2:6" ht="22.5" customHeight="1" thickBot="1">
      <c r="B88" s="8">
        <v>80</v>
      </c>
      <c r="C88" s="61" t="s">
        <v>264</v>
      </c>
      <c r="D88" s="62" t="s">
        <v>28</v>
      </c>
      <c r="E88" s="63" t="s">
        <v>265</v>
      </c>
      <c r="F88" s="9"/>
    </row>
    <row r="89" spans="2:6" ht="22.5" customHeight="1" thickBot="1">
      <c r="B89" s="8">
        <v>81</v>
      </c>
      <c r="C89" s="61" t="s">
        <v>266</v>
      </c>
      <c r="D89" s="62" t="s">
        <v>28</v>
      </c>
      <c r="E89" s="63" t="s">
        <v>267</v>
      </c>
      <c r="F89" s="9"/>
    </row>
    <row r="90" spans="2:6" ht="22.5" customHeight="1" thickBot="1">
      <c r="B90" s="8">
        <v>82</v>
      </c>
      <c r="C90" s="61" t="s">
        <v>268</v>
      </c>
      <c r="D90" s="62" t="s">
        <v>28</v>
      </c>
      <c r="E90" s="63" t="s">
        <v>269</v>
      </c>
      <c r="F90" s="9"/>
    </row>
    <row r="91" spans="2:6" ht="22.5" customHeight="1" thickBot="1">
      <c r="B91" s="8">
        <v>83</v>
      </c>
      <c r="C91" s="61" t="s">
        <v>270</v>
      </c>
      <c r="D91" s="62" t="s">
        <v>28</v>
      </c>
      <c r="E91" s="63" t="s">
        <v>271</v>
      </c>
      <c r="F91" s="9"/>
    </row>
    <row r="92" spans="2:6" ht="22.5" customHeight="1" thickBot="1">
      <c r="B92" s="8">
        <v>84</v>
      </c>
      <c r="C92" s="61" t="s">
        <v>272</v>
      </c>
      <c r="D92" s="62" t="s">
        <v>28</v>
      </c>
      <c r="E92" s="63" t="s">
        <v>273</v>
      </c>
      <c r="F92" s="9"/>
    </row>
    <row r="93" spans="2:6" ht="22.5" customHeight="1" thickBot="1">
      <c r="B93" s="8">
        <v>85</v>
      </c>
      <c r="C93" s="61" t="s">
        <v>274</v>
      </c>
      <c r="D93" s="62" t="s">
        <v>28</v>
      </c>
      <c r="E93" s="63" t="s">
        <v>275</v>
      </c>
      <c r="F93" s="9"/>
    </row>
    <row r="94" spans="2:6" ht="22.5" customHeight="1" thickBot="1">
      <c r="B94" s="8">
        <v>86</v>
      </c>
      <c r="C94" s="61" t="s">
        <v>276</v>
      </c>
      <c r="D94" s="62" t="s">
        <v>28</v>
      </c>
      <c r="E94" s="63" t="s">
        <v>277</v>
      </c>
      <c r="F94" s="9"/>
    </row>
    <row r="95" spans="2:6" ht="22.5" customHeight="1" thickBot="1">
      <c r="B95" s="8">
        <v>87</v>
      </c>
      <c r="C95" s="61" t="s">
        <v>278</v>
      </c>
      <c r="D95" s="62" t="s">
        <v>28</v>
      </c>
      <c r="E95" s="63" t="s">
        <v>279</v>
      </c>
      <c r="F95" s="9"/>
    </row>
    <row r="96" spans="2:6" ht="22.5" customHeight="1" thickBot="1">
      <c r="B96" s="8">
        <v>88</v>
      </c>
      <c r="C96" s="61" t="s">
        <v>280</v>
      </c>
      <c r="D96" s="62" t="s">
        <v>28</v>
      </c>
      <c r="E96" s="63" t="s">
        <v>281</v>
      </c>
      <c r="F96" s="9"/>
    </row>
    <row r="97" spans="2:6" ht="22.5" customHeight="1" thickBot="1">
      <c r="B97" s="8">
        <v>89</v>
      </c>
      <c r="C97" s="61" t="s">
        <v>282</v>
      </c>
      <c r="D97" s="62" t="s">
        <v>28</v>
      </c>
      <c r="E97" s="63" t="s">
        <v>283</v>
      </c>
      <c r="F97" s="9"/>
    </row>
    <row r="98" spans="2:6" ht="22.5" customHeight="1" thickBot="1">
      <c r="B98" s="8">
        <v>90</v>
      </c>
      <c r="C98" s="61" t="s">
        <v>284</v>
      </c>
      <c r="D98" s="62" t="s">
        <v>28</v>
      </c>
      <c r="E98" s="63" t="s">
        <v>285</v>
      </c>
      <c r="F98" s="9"/>
    </row>
    <row r="99" spans="2:6" ht="22.5" customHeight="1" thickBot="1">
      <c r="B99" s="8">
        <v>91</v>
      </c>
      <c r="C99" s="61" t="s">
        <v>286</v>
      </c>
      <c r="D99" s="62" t="s">
        <v>28</v>
      </c>
      <c r="E99" s="63" t="s">
        <v>287</v>
      </c>
      <c r="F99" s="9"/>
    </row>
    <row r="100" spans="2:6" ht="22.5" customHeight="1" thickBot="1">
      <c r="B100" s="8">
        <v>92</v>
      </c>
      <c r="C100" s="61" t="s">
        <v>288</v>
      </c>
      <c r="D100" s="62" t="s">
        <v>28</v>
      </c>
      <c r="E100" s="63" t="s">
        <v>289</v>
      </c>
      <c r="F100" s="9"/>
    </row>
    <row r="101" spans="2:6" ht="22.5" customHeight="1" thickBot="1">
      <c r="B101" s="8">
        <v>93</v>
      </c>
      <c r="C101" s="61" t="s">
        <v>290</v>
      </c>
      <c r="D101" s="62" t="s">
        <v>28</v>
      </c>
      <c r="E101" s="63" t="s">
        <v>291</v>
      </c>
      <c r="F101" s="9"/>
    </row>
    <row r="102" spans="2:6" ht="22.5" customHeight="1" thickBot="1">
      <c r="B102" s="8">
        <v>94</v>
      </c>
      <c r="C102" s="65" t="s">
        <v>292</v>
      </c>
      <c r="D102" s="66" t="s">
        <v>28</v>
      </c>
      <c r="E102" s="67" t="s">
        <v>293</v>
      </c>
      <c r="F102" s="9"/>
    </row>
    <row r="103" spans="2:6" ht="22.5" customHeight="1" thickBot="1">
      <c r="B103" s="69">
        <v>95</v>
      </c>
      <c r="C103" s="79" t="s">
        <v>294</v>
      </c>
      <c r="D103" s="80" t="s">
        <v>334</v>
      </c>
      <c r="E103" s="76" t="s">
        <v>295</v>
      </c>
      <c r="F103" s="9"/>
    </row>
    <row r="104" spans="2:6" ht="22.5" customHeight="1" thickBot="1">
      <c r="B104" s="8">
        <v>96</v>
      </c>
      <c r="C104" s="77" t="s">
        <v>296</v>
      </c>
      <c r="D104" s="78" t="s">
        <v>29</v>
      </c>
      <c r="E104" s="75" t="s">
        <v>315</v>
      </c>
      <c r="F104" s="9"/>
    </row>
    <row r="105" spans="2:6" ht="22.5" customHeight="1" thickBot="1">
      <c r="B105" s="61">
        <v>97</v>
      </c>
      <c r="C105" s="61" t="s">
        <v>297</v>
      </c>
      <c r="D105" s="62" t="s">
        <v>29</v>
      </c>
      <c r="E105" s="63" t="s">
        <v>316</v>
      </c>
      <c r="F105" s="9"/>
    </row>
    <row r="106" spans="2:6" ht="22.5" customHeight="1" thickBot="1">
      <c r="B106" s="8">
        <v>98</v>
      </c>
      <c r="C106" s="61" t="s">
        <v>298</v>
      </c>
      <c r="D106" s="62" t="s">
        <v>29</v>
      </c>
      <c r="E106" s="63" t="s">
        <v>317</v>
      </c>
      <c r="F106" s="9"/>
    </row>
    <row r="107" spans="2:6" ht="22.5" customHeight="1" thickBot="1">
      <c r="B107" s="61">
        <v>99</v>
      </c>
      <c r="C107" s="61" t="s">
        <v>299</v>
      </c>
      <c r="D107" s="62" t="s">
        <v>29</v>
      </c>
      <c r="E107" s="63" t="s">
        <v>318</v>
      </c>
      <c r="F107" s="9"/>
    </row>
    <row r="108" spans="2:6" ht="22.5" customHeight="1" thickBot="1">
      <c r="B108" s="8">
        <v>100</v>
      </c>
      <c r="C108" s="61" t="s">
        <v>300</v>
      </c>
      <c r="D108" s="62" t="s">
        <v>29</v>
      </c>
      <c r="E108" s="63" t="s">
        <v>319</v>
      </c>
      <c r="F108" s="9"/>
    </row>
    <row r="109" spans="2:6" ht="22.5" customHeight="1" thickBot="1">
      <c r="B109" s="61">
        <v>101</v>
      </c>
      <c r="C109" s="61" t="s">
        <v>301</v>
      </c>
      <c r="D109" s="62" t="s">
        <v>29</v>
      </c>
      <c r="E109" s="63" t="s">
        <v>320</v>
      </c>
      <c r="F109" s="9"/>
    </row>
    <row r="110" spans="2:6" ht="22.5" customHeight="1" thickBot="1">
      <c r="B110" s="8">
        <v>102</v>
      </c>
      <c r="C110" s="61" t="s">
        <v>302</v>
      </c>
      <c r="D110" s="62" t="s">
        <v>29</v>
      </c>
      <c r="E110" s="63" t="s">
        <v>321</v>
      </c>
      <c r="F110" s="9"/>
    </row>
    <row r="111" spans="2:6" ht="22.5" customHeight="1" thickBot="1">
      <c r="B111" s="61">
        <v>103</v>
      </c>
      <c r="C111" s="61" t="s">
        <v>303</v>
      </c>
      <c r="D111" s="62" t="s">
        <v>29</v>
      </c>
      <c r="E111" s="63" t="s">
        <v>322</v>
      </c>
      <c r="F111" s="9"/>
    </row>
    <row r="112" spans="2:6" ht="22.5" customHeight="1" thickBot="1">
      <c r="B112" s="8">
        <v>104</v>
      </c>
      <c r="C112" s="61" t="s">
        <v>304</v>
      </c>
      <c r="D112" s="62" t="s">
        <v>29</v>
      </c>
      <c r="E112" s="63" t="s">
        <v>323</v>
      </c>
      <c r="F112" s="9"/>
    </row>
    <row r="113" spans="2:6" ht="22.5" customHeight="1" thickBot="1">
      <c r="B113" s="61">
        <v>105</v>
      </c>
      <c r="C113" s="61" t="s">
        <v>305</v>
      </c>
      <c r="D113" s="62" t="s">
        <v>29</v>
      </c>
      <c r="E113" s="63" t="s">
        <v>324</v>
      </c>
      <c r="F113" s="9"/>
    </row>
    <row r="114" spans="2:6" ht="22.5" customHeight="1" thickBot="1">
      <c r="B114" s="8">
        <v>106</v>
      </c>
      <c r="C114" s="61" t="s">
        <v>306</v>
      </c>
      <c r="D114" s="62" t="s">
        <v>29</v>
      </c>
      <c r="E114" s="63" t="s">
        <v>325</v>
      </c>
      <c r="F114" s="9"/>
    </row>
    <row r="115" spans="2:6" ht="22.5" customHeight="1" thickBot="1">
      <c r="B115" s="61">
        <v>107</v>
      </c>
      <c r="C115" s="61" t="s">
        <v>307</v>
      </c>
      <c r="D115" s="62" t="s">
        <v>29</v>
      </c>
      <c r="E115" s="63" t="s">
        <v>326</v>
      </c>
      <c r="F115" s="9"/>
    </row>
    <row r="116" spans="2:6" ht="22.5" customHeight="1" thickBot="1">
      <c r="B116" s="8">
        <v>108</v>
      </c>
      <c r="C116" s="61" t="s">
        <v>308</v>
      </c>
      <c r="D116" s="62" t="s">
        <v>29</v>
      </c>
      <c r="E116" s="63" t="s">
        <v>327</v>
      </c>
      <c r="F116" s="9"/>
    </row>
    <row r="117" spans="2:6" ht="22.5" customHeight="1" thickBot="1">
      <c r="B117" s="61">
        <v>109</v>
      </c>
      <c r="C117" s="61" t="s">
        <v>309</v>
      </c>
      <c r="D117" s="62" t="s">
        <v>29</v>
      </c>
      <c r="E117" s="63" t="s">
        <v>328</v>
      </c>
      <c r="F117" s="9"/>
    </row>
    <row r="118" spans="2:6" ht="22.5" customHeight="1" thickBot="1">
      <c r="B118" s="8">
        <v>110</v>
      </c>
      <c r="C118" s="61" t="s">
        <v>310</v>
      </c>
      <c r="D118" s="62" t="s">
        <v>29</v>
      </c>
      <c r="E118" s="63" t="s">
        <v>329</v>
      </c>
      <c r="F118" s="9"/>
    </row>
    <row r="119" spans="2:6" ht="22.5" customHeight="1" thickBot="1">
      <c r="B119" s="61">
        <v>111</v>
      </c>
      <c r="C119" s="61" t="s">
        <v>311</v>
      </c>
      <c r="D119" s="62" t="s">
        <v>29</v>
      </c>
      <c r="E119" s="63" t="s">
        <v>330</v>
      </c>
      <c r="F119" s="9"/>
    </row>
    <row r="120" spans="2:6" ht="22.5" customHeight="1" thickBot="1">
      <c r="B120" s="8">
        <v>112</v>
      </c>
      <c r="C120" s="61" t="s">
        <v>312</v>
      </c>
      <c r="D120" s="62" t="s">
        <v>29</v>
      </c>
      <c r="E120" s="63" t="s">
        <v>331</v>
      </c>
      <c r="F120" s="9"/>
    </row>
    <row r="121" spans="2:6" ht="22.5" customHeight="1" thickBot="1">
      <c r="B121" s="61">
        <v>113</v>
      </c>
      <c r="C121" s="61" t="s">
        <v>313</v>
      </c>
      <c r="D121" s="62" t="s">
        <v>29</v>
      </c>
      <c r="E121" s="63" t="s">
        <v>332</v>
      </c>
      <c r="F121" s="9"/>
    </row>
    <row r="122" spans="2:6" ht="22.5" customHeight="1" thickBot="1">
      <c r="B122" s="8">
        <v>114</v>
      </c>
      <c r="C122" s="65" t="s">
        <v>314</v>
      </c>
      <c r="D122" s="66" t="s">
        <v>29</v>
      </c>
      <c r="E122" s="67" t="s">
        <v>333</v>
      </c>
      <c r="F122" s="9"/>
    </row>
    <row r="123" spans="2:6" ht="18.75" customHeight="1" thickBot="1">
      <c r="B123" s="61">
        <v>115</v>
      </c>
      <c r="C123" s="61" t="s">
        <v>335</v>
      </c>
      <c r="D123" s="62" t="s">
        <v>29</v>
      </c>
      <c r="E123" s="63" t="s">
        <v>336</v>
      </c>
      <c r="F123" s="9"/>
    </row>
    <row r="124" spans="2:6" ht="20.25" customHeight="1" thickBot="1">
      <c r="B124" s="8">
        <v>116</v>
      </c>
      <c r="C124" s="61" t="s">
        <v>337</v>
      </c>
      <c r="D124" s="62" t="s">
        <v>29</v>
      </c>
      <c r="E124" s="63" t="s">
        <v>338</v>
      </c>
      <c r="F124" s="9"/>
    </row>
    <row r="125" spans="2:6" ht="15.75" customHeight="1" thickBot="1">
      <c r="B125" s="61">
        <v>117</v>
      </c>
      <c r="C125" s="61" t="s">
        <v>339</v>
      </c>
      <c r="D125" s="62" t="s">
        <v>29</v>
      </c>
      <c r="E125" s="63" t="s">
        <v>340</v>
      </c>
      <c r="F125" s="9"/>
    </row>
    <row r="126" spans="2:6" ht="15.75" customHeight="1" thickBot="1">
      <c r="B126" s="8">
        <v>118</v>
      </c>
      <c r="C126" s="61" t="s">
        <v>341</v>
      </c>
      <c r="D126" s="62" t="s">
        <v>29</v>
      </c>
      <c r="E126" s="63" t="s">
        <v>342</v>
      </c>
      <c r="F126" s="9"/>
    </row>
    <row r="127" spans="2:6" ht="15.75" customHeight="1" thickBot="1">
      <c r="B127" s="61">
        <v>119</v>
      </c>
      <c r="C127" s="61" t="s">
        <v>343</v>
      </c>
      <c r="D127" s="62" t="s">
        <v>29</v>
      </c>
      <c r="E127" s="63" t="s">
        <v>344</v>
      </c>
      <c r="F127" s="9"/>
    </row>
    <row r="128" spans="2:6" ht="15.75" customHeight="1" thickBot="1">
      <c r="B128" s="8">
        <v>120</v>
      </c>
      <c r="C128" s="61" t="s">
        <v>345</v>
      </c>
      <c r="D128" s="62" t="s">
        <v>29</v>
      </c>
      <c r="E128" s="63" t="s">
        <v>346</v>
      </c>
      <c r="F128" s="9"/>
    </row>
    <row r="129" spans="2:6" ht="15.75" customHeight="1" thickBot="1">
      <c r="B129" s="61">
        <v>121</v>
      </c>
      <c r="C129" s="61" t="s">
        <v>347</v>
      </c>
      <c r="D129" s="62" t="s">
        <v>29</v>
      </c>
      <c r="E129" s="63" t="s">
        <v>348</v>
      </c>
      <c r="F129" s="9"/>
    </row>
    <row r="130" spans="2:6" ht="15.75" customHeight="1" thickBot="1">
      <c r="B130" s="8">
        <v>122</v>
      </c>
      <c r="C130" s="61" t="s">
        <v>349</v>
      </c>
      <c r="D130" s="62" t="s">
        <v>29</v>
      </c>
      <c r="E130" s="63" t="s">
        <v>350</v>
      </c>
      <c r="F130" s="9"/>
    </row>
    <row r="131" spans="2:6" ht="15.75" customHeight="1" thickBot="1">
      <c r="B131" s="61">
        <v>123</v>
      </c>
      <c r="C131" s="61" t="s">
        <v>351</v>
      </c>
      <c r="D131" s="62" t="s">
        <v>29</v>
      </c>
      <c r="E131" s="63" t="s">
        <v>352</v>
      </c>
      <c r="F131" s="9"/>
    </row>
    <row r="132" spans="2:6" ht="15.75" customHeight="1" thickBot="1">
      <c r="B132" s="8">
        <v>124</v>
      </c>
      <c r="C132" s="61" t="s">
        <v>353</v>
      </c>
      <c r="D132" s="62" t="s">
        <v>29</v>
      </c>
      <c r="E132" s="63" t="s">
        <v>354</v>
      </c>
      <c r="F132" s="9"/>
    </row>
    <row r="133" spans="2:6" ht="15.75" customHeight="1" thickBot="1">
      <c r="B133" s="61">
        <v>125</v>
      </c>
      <c r="C133" s="61" t="s">
        <v>355</v>
      </c>
      <c r="D133" s="62" t="s">
        <v>29</v>
      </c>
      <c r="E133" s="63" t="s">
        <v>356</v>
      </c>
      <c r="F133" s="9"/>
    </row>
    <row r="134" spans="2:6" ht="15.75" customHeight="1" thickBot="1">
      <c r="B134" s="8">
        <v>126</v>
      </c>
      <c r="C134" s="61" t="s">
        <v>357</v>
      </c>
      <c r="D134" s="62" t="s">
        <v>29</v>
      </c>
      <c r="E134" s="63" t="s">
        <v>358</v>
      </c>
      <c r="F134" s="9"/>
    </row>
    <row r="135" spans="2:6" ht="15.75" customHeight="1" thickBot="1">
      <c r="B135" s="61">
        <v>127</v>
      </c>
      <c r="C135" s="61" t="s">
        <v>359</v>
      </c>
      <c r="D135" s="62" t="s">
        <v>29</v>
      </c>
      <c r="E135" s="63" t="s">
        <v>360</v>
      </c>
      <c r="F135" s="9"/>
    </row>
    <row r="136" spans="2:6" ht="15.75" customHeight="1" thickBot="1">
      <c r="B136" s="8">
        <v>128</v>
      </c>
      <c r="C136" s="61" t="s">
        <v>361</v>
      </c>
      <c r="D136" s="62" t="s">
        <v>29</v>
      </c>
      <c r="E136" s="63" t="s">
        <v>362</v>
      </c>
      <c r="F136" s="9"/>
    </row>
    <row r="137" spans="2:6" ht="15.75" customHeight="1" thickBot="1">
      <c r="B137" s="61">
        <v>129</v>
      </c>
      <c r="C137" s="61" t="s">
        <v>363</v>
      </c>
      <c r="D137" s="62" t="s">
        <v>29</v>
      </c>
      <c r="E137" s="63" t="s">
        <v>364</v>
      </c>
      <c r="F137" s="9"/>
    </row>
    <row r="138" spans="2:6" ht="15.75" customHeight="1" thickBot="1">
      <c r="B138" s="8">
        <v>130</v>
      </c>
      <c r="C138" s="61" t="s">
        <v>365</v>
      </c>
      <c r="D138" s="62" t="s">
        <v>29</v>
      </c>
      <c r="E138" s="63" t="s">
        <v>368</v>
      </c>
      <c r="F138" s="9"/>
    </row>
    <row r="139" spans="2:6" ht="15.75" customHeight="1">
      <c r="B139" s="72">
        <v>131</v>
      </c>
      <c r="C139" s="72" t="s">
        <v>366</v>
      </c>
      <c r="D139" s="73" t="s">
        <v>29</v>
      </c>
      <c r="E139" s="74" t="s">
        <v>367</v>
      </c>
      <c r="F139" s="9"/>
    </row>
    <row r="140" spans="2:6" ht="15.75" customHeight="1">
      <c r="B140" s="70"/>
      <c r="C140" s="71"/>
      <c r="D140" s="71"/>
      <c r="E140" s="71"/>
    </row>
    <row r="141" spans="2:6" ht="15.75" customHeight="1">
      <c r="B141" s="70"/>
      <c r="C141" s="71"/>
      <c r="D141" s="71"/>
      <c r="E141" s="71"/>
    </row>
    <row r="142" spans="2:6" ht="15.75" customHeight="1">
      <c r="B142" s="70"/>
      <c r="C142" s="71"/>
      <c r="D142" s="71"/>
      <c r="E142" s="71"/>
    </row>
    <row r="143" spans="2:6" ht="15.75" customHeight="1">
      <c r="B143" s="70"/>
      <c r="C143" s="71"/>
      <c r="D143" s="71"/>
      <c r="E143" s="71"/>
    </row>
    <row r="144" spans="2:6" ht="15.75" customHeight="1">
      <c r="B144" s="70"/>
      <c r="C144" s="71"/>
      <c r="D144" s="71"/>
      <c r="E144" s="71"/>
    </row>
    <row r="145" spans="2:5" ht="15.75" customHeight="1">
      <c r="B145" s="70"/>
      <c r="C145" s="71"/>
      <c r="D145" s="71"/>
      <c r="E145" s="71"/>
    </row>
    <row r="146" spans="2:5" ht="15.75" customHeight="1">
      <c r="B146" s="70"/>
      <c r="C146" s="71"/>
      <c r="D146" s="71"/>
      <c r="E146" s="71"/>
    </row>
    <row r="147" spans="2:5" ht="15.75" customHeight="1">
      <c r="B147" s="70"/>
      <c r="C147" s="71"/>
      <c r="D147" s="71"/>
      <c r="E147" s="71"/>
    </row>
    <row r="148" spans="2:5" ht="15.75" customHeight="1">
      <c r="B148" s="70"/>
      <c r="C148" s="71"/>
      <c r="D148" s="71"/>
      <c r="E148" s="71"/>
    </row>
    <row r="149" spans="2:5" ht="15.75" customHeight="1">
      <c r="B149" s="70"/>
      <c r="C149" s="71"/>
      <c r="D149" s="71"/>
      <c r="E149" s="71"/>
    </row>
    <row r="150" spans="2:5" ht="15.75" customHeight="1">
      <c r="B150" s="70"/>
      <c r="C150" s="71"/>
      <c r="D150" s="71"/>
      <c r="E150" s="71"/>
    </row>
    <row r="151" spans="2:5" ht="15.75" customHeight="1">
      <c r="B151" s="70"/>
      <c r="C151" s="71"/>
      <c r="D151" s="71"/>
      <c r="E151" s="71"/>
    </row>
    <row r="152" spans="2:5" ht="15.75" customHeight="1">
      <c r="B152" s="70"/>
      <c r="C152" s="71"/>
      <c r="D152" s="71"/>
      <c r="E152" s="71"/>
    </row>
    <row r="153" spans="2:5" ht="15.75" customHeight="1">
      <c r="B153" s="70"/>
      <c r="C153" s="71"/>
      <c r="D153" s="71"/>
      <c r="E153" s="71"/>
    </row>
    <row r="154" spans="2:5" ht="15.75" customHeight="1">
      <c r="B154" s="70"/>
      <c r="C154" s="71"/>
      <c r="D154" s="71"/>
      <c r="E154" s="71"/>
    </row>
    <row r="155" spans="2:5" ht="15.75" customHeight="1">
      <c r="B155" s="70"/>
      <c r="C155" s="71"/>
      <c r="D155" s="71"/>
      <c r="E155" s="71"/>
    </row>
    <row r="156" spans="2:5" ht="15.75" customHeight="1">
      <c r="B156" s="70"/>
      <c r="C156" s="71"/>
      <c r="D156" s="71"/>
      <c r="E156" s="71"/>
    </row>
    <row r="157" spans="2:5" ht="15.75" customHeight="1">
      <c r="B157" s="70"/>
      <c r="C157" s="71"/>
      <c r="D157" s="71"/>
      <c r="E157" s="71"/>
    </row>
    <row r="158" spans="2:5" ht="15.75" customHeight="1">
      <c r="B158" s="70"/>
      <c r="C158" s="71"/>
      <c r="D158" s="71"/>
      <c r="E158" s="71"/>
    </row>
    <row r="159" spans="2:5" ht="15.75" customHeight="1">
      <c r="B159" s="70"/>
      <c r="C159" s="71"/>
      <c r="D159" s="71"/>
      <c r="E159" s="71"/>
    </row>
  </sheetData>
  <mergeCells count="8">
    <mergeCell ref="B5:C5"/>
    <mergeCell ref="D5:F5"/>
    <mergeCell ref="B1:F1"/>
    <mergeCell ref="C2:F2"/>
    <mergeCell ref="B3:C3"/>
    <mergeCell ref="D3:F3"/>
    <mergeCell ref="B4:C4"/>
    <mergeCell ref="D4:F4"/>
  </mergeCells>
  <dataValidations count="1">
    <dataValidation type="custom" allowBlank="1" showDropDown="1" sqref="B27:B102 B104 B106 B108 B110 B112 B114 B116 B118 B120 B122 B138 B124 B126 B128 B130 B132 B134 B136 B140:B159" xr:uid="{00000000-0002-0000-0100-000000000000}">
      <formula1>AND(ISNUMBER(B27),(NOT(OR(NOT(ISERROR(DATEVALUE(B27))), AND(ISNUMBER(B27), LEFT(CELL("format", B27))="D")))))</formula1>
    </dataValidation>
  </dataValidation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5"/>
  <sheetViews>
    <sheetView zoomScale="85" zoomScaleNormal="85" workbookViewId="0">
      <selection activeCell="J8" sqref="J8"/>
    </sheetView>
  </sheetViews>
  <sheetFormatPr defaultColWidth="12.5703125" defaultRowHeight="15.75" customHeight="1"/>
  <cols>
    <col min="2" max="2" width="14.5703125" customWidth="1"/>
    <col min="3" max="3" width="32.42578125" customWidth="1"/>
    <col min="4" max="4" width="15" customWidth="1"/>
    <col min="8" max="8" width="21.85546875" customWidth="1"/>
  </cols>
  <sheetData>
    <row r="1" spans="1:26" ht="15.75" customHeight="1">
      <c r="A1" s="10"/>
      <c r="B1" s="177" t="s">
        <v>30</v>
      </c>
      <c r="C1" s="178"/>
      <c r="D1" s="178"/>
      <c r="E1" s="178"/>
      <c r="F1" s="178"/>
      <c r="G1" s="178"/>
      <c r="H1" s="178"/>
      <c r="I1" s="10"/>
      <c r="J1" s="10"/>
      <c r="K1" s="10"/>
      <c r="L1" s="10"/>
      <c r="M1" s="10"/>
      <c r="N1" s="10"/>
      <c r="O1" s="10"/>
      <c r="P1" s="10"/>
      <c r="Q1" s="10"/>
      <c r="R1" s="10"/>
      <c r="S1" s="10"/>
      <c r="T1" s="10"/>
      <c r="U1" s="10"/>
      <c r="V1" s="10"/>
      <c r="W1" s="10"/>
      <c r="X1" s="10"/>
      <c r="Y1" s="10"/>
      <c r="Z1" s="10"/>
    </row>
    <row r="2" spans="1:26" ht="14.25">
      <c r="A2" s="10"/>
      <c r="B2" s="10"/>
      <c r="C2" s="10"/>
      <c r="D2" s="10"/>
      <c r="E2" s="10"/>
      <c r="F2" s="10"/>
      <c r="G2" s="10"/>
      <c r="H2" s="11"/>
      <c r="I2" s="10"/>
      <c r="J2" s="10"/>
      <c r="K2" s="10"/>
      <c r="L2" s="10"/>
      <c r="M2" s="10"/>
      <c r="N2" s="10"/>
      <c r="O2" s="10"/>
      <c r="P2" s="10"/>
      <c r="Q2" s="10"/>
      <c r="R2" s="10"/>
      <c r="S2" s="10"/>
      <c r="T2" s="10"/>
      <c r="U2" s="10"/>
      <c r="V2" s="10"/>
      <c r="W2" s="10"/>
      <c r="X2" s="10"/>
      <c r="Y2" s="10"/>
      <c r="Z2" s="10"/>
    </row>
    <row r="3" spans="1:26" ht="14.25">
      <c r="A3" s="10"/>
      <c r="B3" s="12" t="s">
        <v>1</v>
      </c>
      <c r="C3" s="173" t="s">
        <v>92</v>
      </c>
      <c r="D3" s="165"/>
      <c r="E3" s="174" t="s">
        <v>2</v>
      </c>
      <c r="F3" s="165"/>
      <c r="G3" s="179" t="s">
        <v>377</v>
      </c>
      <c r="H3" s="165"/>
      <c r="I3" s="10"/>
      <c r="J3" s="10"/>
      <c r="K3" s="10"/>
      <c r="L3" s="10"/>
      <c r="M3" s="10"/>
      <c r="N3" s="10"/>
      <c r="O3" s="10"/>
      <c r="P3" s="10"/>
      <c r="Q3" s="10"/>
      <c r="R3" s="10"/>
      <c r="S3" s="10"/>
      <c r="T3" s="10"/>
      <c r="U3" s="10"/>
      <c r="V3" s="10"/>
      <c r="W3" s="10"/>
      <c r="X3" s="10"/>
      <c r="Y3" s="10"/>
      <c r="Z3" s="10"/>
    </row>
    <row r="4" spans="1:26" ht="14.25">
      <c r="A4" s="10"/>
      <c r="B4" s="12" t="s">
        <v>3</v>
      </c>
      <c r="C4" s="180" t="s">
        <v>4</v>
      </c>
      <c r="D4" s="165"/>
      <c r="E4" s="174" t="s">
        <v>31</v>
      </c>
      <c r="F4" s="165"/>
      <c r="G4" s="181"/>
      <c r="H4" s="165"/>
      <c r="I4" s="13"/>
      <c r="J4" s="10"/>
      <c r="K4" s="10"/>
      <c r="L4" s="10"/>
      <c r="M4" s="10"/>
      <c r="N4" s="10"/>
      <c r="O4" s="10"/>
      <c r="P4" s="10"/>
      <c r="Q4" s="10"/>
      <c r="R4" s="10"/>
      <c r="S4" s="10"/>
      <c r="T4" s="10"/>
      <c r="U4" s="10"/>
      <c r="V4" s="10"/>
      <c r="W4" s="10"/>
      <c r="X4" s="10"/>
      <c r="Y4" s="10"/>
      <c r="Z4" s="10"/>
    </row>
    <row r="5" spans="1:26" ht="14.25">
      <c r="A5" s="10"/>
      <c r="B5" s="12" t="s">
        <v>6</v>
      </c>
      <c r="C5" s="173" t="s">
        <v>32</v>
      </c>
      <c r="D5" s="165"/>
      <c r="E5" s="174" t="s">
        <v>5</v>
      </c>
      <c r="F5" s="165"/>
      <c r="G5" s="175">
        <v>46185</v>
      </c>
      <c r="H5" s="165"/>
      <c r="I5" s="10"/>
      <c r="J5" s="10"/>
      <c r="K5" s="10"/>
      <c r="L5" s="10"/>
      <c r="M5" s="10"/>
      <c r="N5" s="10"/>
      <c r="O5" s="10"/>
      <c r="P5" s="10"/>
      <c r="Q5" s="10"/>
      <c r="R5" s="10"/>
      <c r="S5" s="10"/>
      <c r="T5" s="10"/>
      <c r="U5" s="10"/>
      <c r="V5" s="10"/>
      <c r="W5" s="10"/>
      <c r="X5" s="10"/>
      <c r="Y5" s="10"/>
      <c r="Z5" s="10"/>
    </row>
    <row r="6" spans="1:26" ht="14.25">
      <c r="A6" s="10"/>
      <c r="B6" s="14" t="s">
        <v>33</v>
      </c>
      <c r="C6" s="176" t="s">
        <v>378</v>
      </c>
      <c r="D6" s="164"/>
      <c r="E6" s="164"/>
      <c r="F6" s="164"/>
      <c r="G6" s="164"/>
      <c r="H6" s="165"/>
      <c r="I6" s="13"/>
      <c r="J6" s="10"/>
      <c r="K6" s="10"/>
      <c r="L6" s="10"/>
      <c r="M6" s="10"/>
      <c r="N6" s="10"/>
      <c r="O6" s="10"/>
      <c r="P6" s="10"/>
      <c r="Q6" s="10"/>
      <c r="R6" s="10"/>
      <c r="S6" s="10"/>
      <c r="T6" s="10"/>
      <c r="U6" s="10"/>
      <c r="V6" s="10"/>
      <c r="W6" s="10"/>
      <c r="X6" s="10"/>
      <c r="Y6" s="10"/>
      <c r="Z6" s="10"/>
    </row>
    <row r="7" spans="1:26" ht="14.25">
      <c r="A7" s="10"/>
      <c r="B7" s="10"/>
      <c r="C7" s="15"/>
      <c r="D7" s="15"/>
      <c r="E7" s="15"/>
      <c r="F7" s="15"/>
      <c r="G7" s="15"/>
      <c r="H7" s="16"/>
      <c r="I7" s="10"/>
      <c r="J7" s="10"/>
      <c r="K7" s="10"/>
      <c r="L7" s="10"/>
      <c r="M7" s="10"/>
      <c r="N7" s="10"/>
      <c r="O7" s="10"/>
      <c r="P7" s="10"/>
      <c r="Q7" s="10"/>
      <c r="R7" s="10"/>
      <c r="S7" s="10"/>
      <c r="T7" s="10"/>
      <c r="U7" s="10"/>
      <c r="V7" s="10"/>
      <c r="W7" s="10"/>
      <c r="X7" s="10"/>
      <c r="Y7" s="10"/>
      <c r="Z7" s="10"/>
    </row>
    <row r="8" spans="1:26" ht="14.25">
      <c r="A8" s="10"/>
      <c r="B8" s="10"/>
      <c r="C8" s="10"/>
      <c r="D8" s="10"/>
      <c r="E8" s="10"/>
      <c r="F8" s="10"/>
      <c r="G8" s="10"/>
      <c r="H8" s="11"/>
      <c r="I8" s="10"/>
      <c r="J8" s="10"/>
      <c r="K8" s="10"/>
      <c r="L8" s="10"/>
      <c r="M8" s="10"/>
      <c r="N8" s="10"/>
      <c r="O8" s="10"/>
      <c r="P8" s="10"/>
      <c r="Q8" s="10"/>
      <c r="R8" s="10"/>
      <c r="S8" s="10"/>
      <c r="T8" s="10"/>
      <c r="U8" s="10"/>
      <c r="V8" s="10"/>
      <c r="W8" s="10"/>
      <c r="X8" s="10"/>
      <c r="Y8" s="10"/>
      <c r="Z8" s="10"/>
    </row>
    <row r="9" spans="1:26" ht="14.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4.25">
      <c r="A10" s="17"/>
      <c r="B10" s="18" t="s">
        <v>34</v>
      </c>
      <c r="C10" s="19" t="s">
        <v>35</v>
      </c>
      <c r="D10" s="20" t="s">
        <v>36</v>
      </c>
      <c r="E10" s="19" t="s">
        <v>37</v>
      </c>
      <c r="F10" s="19" t="s">
        <v>38</v>
      </c>
      <c r="G10" s="21" t="s">
        <v>39</v>
      </c>
      <c r="H10" s="22" t="s">
        <v>40</v>
      </c>
      <c r="I10" s="10"/>
      <c r="J10" s="10"/>
      <c r="K10" s="10"/>
      <c r="L10" s="10"/>
      <c r="M10" s="10"/>
      <c r="N10" s="10"/>
      <c r="O10" s="10"/>
      <c r="P10" s="10"/>
      <c r="Q10" s="10"/>
      <c r="R10" s="10"/>
      <c r="S10" s="10"/>
      <c r="T10" s="10"/>
      <c r="U10" s="10"/>
      <c r="V10" s="10"/>
      <c r="W10" s="10"/>
      <c r="X10" s="10"/>
      <c r="Y10" s="10"/>
      <c r="Z10" s="10"/>
    </row>
    <row r="11" spans="1:26" ht="15.75" customHeight="1">
      <c r="A11" s="23"/>
      <c r="B11" s="81">
        <v>1</v>
      </c>
      <c r="C11" s="80" t="s">
        <v>369</v>
      </c>
      <c r="D11" s="80">
        <v>18</v>
      </c>
      <c r="E11" s="80">
        <v>0</v>
      </c>
      <c r="F11" s="80">
        <v>0</v>
      </c>
      <c r="G11" s="80">
        <v>0</v>
      </c>
      <c r="H11" s="82">
        <v>18</v>
      </c>
      <c r="I11" s="13"/>
      <c r="J11" s="10"/>
      <c r="K11" s="10"/>
      <c r="L11" s="10"/>
      <c r="M11" s="10"/>
      <c r="N11" s="10"/>
      <c r="O11" s="10"/>
      <c r="P11" s="10"/>
      <c r="Q11" s="10"/>
      <c r="R11" s="10"/>
      <c r="S11" s="10"/>
      <c r="T11" s="10"/>
      <c r="U11" s="10"/>
      <c r="V11" s="10"/>
      <c r="W11" s="10"/>
      <c r="X11" s="10"/>
      <c r="Y11" s="10"/>
      <c r="Z11" s="10"/>
    </row>
    <row r="12" spans="1:26" ht="15.75" customHeight="1">
      <c r="A12" s="23"/>
      <c r="B12" s="81">
        <v>2</v>
      </c>
      <c r="C12" s="80" t="s">
        <v>370</v>
      </c>
      <c r="D12" s="80">
        <v>20</v>
      </c>
      <c r="E12" s="80">
        <v>0</v>
      </c>
      <c r="F12" s="80">
        <v>0</v>
      </c>
      <c r="G12" s="80">
        <v>0</v>
      </c>
      <c r="H12" s="82">
        <v>20</v>
      </c>
      <c r="I12" s="13"/>
      <c r="J12" s="10"/>
      <c r="K12" s="10"/>
      <c r="L12" s="10"/>
      <c r="M12" s="10"/>
      <c r="N12" s="10"/>
      <c r="O12" s="10"/>
      <c r="P12" s="10"/>
      <c r="Q12" s="10"/>
      <c r="R12" s="10"/>
      <c r="S12" s="10"/>
      <c r="T12" s="10"/>
      <c r="U12" s="10"/>
      <c r="V12" s="10"/>
      <c r="W12" s="10"/>
      <c r="X12" s="10"/>
      <c r="Y12" s="10"/>
      <c r="Z12" s="10"/>
    </row>
    <row r="13" spans="1:26" ht="15.75" customHeight="1">
      <c r="A13" s="23"/>
      <c r="B13" s="81">
        <v>3</v>
      </c>
      <c r="C13" s="80" t="s">
        <v>371</v>
      </c>
      <c r="D13" s="80">
        <v>25</v>
      </c>
      <c r="E13" s="82">
        <v>2</v>
      </c>
      <c r="F13" s="80">
        <v>0</v>
      </c>
      <c r="G13" s="80">
        <v>0</v>
      </c>
      <c r="H13" s="82">
        <v>27</v>
      </c>
      <c r="I13" s="13"/>
      <c r="J13" s="10"/>
      <c r="K13" s="10"/>
      <c r="L13" s="10"/>
      <c r="M13" s="10"/>
      <c r="N13" s="10"/>
      <c r="O13" s="10"/>
      <c r="P13" s="10"/>
      <c r="Q13" s="10"/>
      <c r="R13" s="10"/>
      <c r="S13" s="10"/>
      <c r="T13" s="10"/>
      <c r="U13" s="10"/>
      <c r="V13" s="10"/>
      <c r="W13" s="10"/>
      <c r="X13" s="10"/>
      <c r="Y13" s="10"/>
      <c r="Z13" s="10"/>
    </row>
    <row r="14" spans="1:26" ht="15.75" customHeight="1">
      <c r="A14" s="23"/>
      <c r="B14" s="81">
        <v>4</v>
      </c>
      <c r="C14" s="80" t="s">
        <v>372</v>
      </c>
      <c r="D14" s="80">
        <v>15</v>
      </c>
      <c r="E14" s="80">
        <v>0</v>
      </c>
      <c r="F14" s="80">
        <v>0</v>
      </c>
      <c r="G14" s="80">
        <v>0</v>
      </c>
      <c r="H14" s="82">
        <v>15</v>
      </c>
      <c r="I14" s="13"/>
      <c r="J14" s="10"/>
      <c r="K14" s="10"/>
      <c r="L14" s="10"/>
      <c r="M14" s="10"/>
      <c r="N14" s="10"/>
      <c r="O14" s="10"/>
      <c r="P14" s="10"/>
      <c r="Q14" s="10"/>
      <c r="R14" s="10"/>
      <c r="S14" s="10"/>
      <c r="T14" s="10"/>
      <c r="U14" s="10"/>
      <c r="V14" s="10"/>
      <c r="W14" s="10"/>
      <c r="X14" s="10"/>
      <c r="Y14" s="10"/>
      <c r="Z14" s="10"/>
    </row>
    <row r="15" spans="1:26" ht="15.75" customHeight="1">
      <c r="A15" s="23"/>
      <c r="B15" s="81">
        <v>5</v>
      </c>
      <c r="C15" s="80" t="s">
        <v>373</v>
      </c>
      <c r="D15" s="80">
        <v>4</v>
      </c>
      <c r="E15" s="82">
        <v>1</v>
      </c>
      <c r="F15" s="80">
        <v>0</v>
      </c>
      <c r="G15" s="80">
        <v>0</v>
      </c>
      <c r="H15" s="82">
        <v>5</v>
      </c>
      <c r="I15" s="13"/>
      <c r="J15" s="10"/>
      <c r="K15" s="10"/>
      <c r="L15" s="10"/>
      <c r="M15" s="10"/>
      <c r="N15" s="10"/>
      <c r="O15" s="10"/>
      <c r="P15" s="10"/>
      <c r="Q15" s="10"/>
      <c r="R15" s="10"/>
      <c r="S15" s="10"/>
      <c r="T15" s="10"/>
      <c r="U15" s="10"/>
      <c r="V15" s="10"/>
      <c r="W15" s="10"/>
      <c r="X15" s="10"/>
      <c r="Y15" s="10"/>
      <c r="Z15" s="10"/>
    </row>
    <row r="16" spans="1:26" ht="15.75" customHeight="1">
      <c r="A16" s="23"/>
      <c r="B16" s="81">
        <v>6</v>
      </c>
      <c r="C16" s="80" t="s">
        <v>374</v>
      </c>
      <c r="D16" s="80">
        <v>10</v>
      </c>
      <c r="E16" s="80">
        <v>0</v>
      </c>
      <c r="F16" s="80">
        <v>0</v>
      </c>
      <c r="G16" s="80">
        <v>0</v>
      </c>
      <c r="H16" s="82">
        <v>10</v>
      </c>
      <c r="I16" s="13"/>
      <c r="J16" s="10"/>
      <c r="K16" s="10"/>
      <c r="L16" s="10"/>
      <c r="M16" s="10"/>
      <c r="N16" s="10"/>
      <c r="O16" s="10"/>
      <c r="P16" s="10"/>
      <c r="Q16" s="10"/>
      <c r="R16" s="10"/>
      <c r="S16" s="10"/>
      <c r="T16" s="10"/>
      <c r="U16" s="10"/>
      <c r="V16" s="10"/>
      <c r="W16" s="10"/>
      <c r="X16" s="10"/>
      <c r="Y16" s="10"/>
      <c r="Z16" s="10"/>
    </row>
    <row r="17" spans="1:26" ht="15.75" customHeight="1">
      <c r="A17" s="23"/>
      <c r="B17" s="81">
        <v>7</v>
      </c>
      <c r="C17" s="80" t="s">
        <v>375</v>
      </c>
      <c r="D17" s="80">
        <v>22</v>
      </c>
      <c r="E17" s="82">
        <v>1</v>
      </c>
      <c r="F17" s="80">
        <v>0</v>
      </c>
      <c r="G17" s="80">
        <v>0</v>
      </c>
      <c r="H17" s="82">
        <v>23</v>
      </c>
      <c r="I17" s="13"/>
      <c r="J17" s="10"/>
      <c r="K17" s="10"/>
      <c r="L17" s="10"/>
      <c r="M17" s="10"/>
      <c r="N17" s="10"/>
      <c r="O17" s="10"/>
      <c r="P17" s="10"/>
      <c r="Q17" s="10"/>
      <c r="R17" s="10"/>
      <c r="S17" s="10"/>
      <c r="T17" s="10"/>
      <c r="U17" s="10"/>
      <c r="V17" s="10"/>
      <c r="W17" s="10"/>
      <c r="X17" s="10"/>
      <c r="Y17" s="10"/>
      <c r="Z17" s="10"/>
    </row>
    <row r="18" spans="1:26" ht="15.75" customHeight="1">
      <c r="A18" s="23"/>
      <c r="B18" s="81">
        <v>8</v>
      </c>
      <c r="C18" s="80" t="s">
        <v>376</v>
      </c>
      <c r="D18" s="80">
        <v>14</v>
      </c>
      <c r="E18" s="80">
        <v>0</v>
      </c>
      <c r="F18" s="80">
        <v>0</v>
      </c>
      <c r="G18" s="80">
        <v>0</v>
      </c>
      <c r="H18" s="82">
        <v>14</v>
      </c>
      <c r="I18" s="13"/>
      <c r="J18" s="10"/>
      <c r="K18" s="10"/>
      <c r="L18" s="10"/>
      <c r="M18" s="10"/>
      <c r="N18" s="10"/>
      <c r="O18" s="10"/>
      <c r="P18" s="10"/>
      <c r="Q18" s="10"/>
      <c r="R18" s="10"/>
      <c r="S18" s="10"/>
      <c r="T18" s="10"/>
      <c r="U18" s="10"/>
      <c r="V18" s="10"/>
      <c r="W18" s="10"/>
      <c r="X18" s="10"/>
      <c r="Y18" s="10"/>
      <c r="Z18" s="10"/>
    </row>
    <row r="19" spans="1:26" ht="15.75" customHeight="1">
      <c r="A19" s="17"/>
      <c r="B19" s="24"/>
      <c r="C19" s="25" t="s">
        <v>41</v>
      </c>
      <c r="D19" s="26">
        <f>SUM(D11:D18)</f>
        <v>128</v>
      </c>
      <c r="E19" s="26">
        <f t="shared" ref="E19:H19" si="0">SUM(E9:E18)</f>
        <v>4</v>
      </c>
      <c r="F19" s="26">
        <f t="shared" si="0"/>
        <v>0</v>
      </c>
      <c r="G19" s="26">
        <f t="shared" si="0"/>
        <v>0</v>
      </c>
      <c r="H19" s="27">
        <f t="shared" si="0"/>
        <v>132</v>
      </c>
      <c r="I19" s="10"/>
      <c r="J19" s="10"/>
      <c r="K19" s="10"/>
      <c r="L19" s="10"/>
      <c r="M19" s="10"/>
      <c r="N19" s="10"/>
      <c r="O19" s="10"/>
      <c r="P19" s="10"/>
      <c r="Q19" s="10"/>
      <c r="R19" s="10"/>
      <c r="S19" s="10"/>
      <c r="T19" s="10"/>
      <c r="U19" s="10"/>
      <c r="V19" s="10"/>
      <c r="W19" s="10"/>
      <c r="X19" s="10"/>
      <c r="Y19" s="10"/>
      <c r="Z19" s="10"/>
    </row>
    <row r="20" spans="1:26" ht="14.25">
      <c r="A20" s="10"/>
      <c r="B20" s="10"/>
      <c r="C20" s="10"/>
      <c r="D20" s="28"/>
      <c r="E20" s="29"/>
      <c r="F20" s="29"/>
      <c r="G20" s="29"/>
      <c r="H20" s="29"/>
      <c r="I20" s="10"/>
      <c r="J20" s="10"/>
      <c r="K20" s="10"/>
      <c r="L20" s="10"/>
      <c r="M20" s="10"/>
      <c r="N20" s="10"/>
      <c r="O20" s="10"/>
      <c r="P20" s="10"/>
      <c r="Q20" s="10"/>
      <c r="R20" s="10"/>
      <c r="S20" s="10"/>
      <c r="T20" s="10"/>
      <c r="U20" s="10"/>
      <c r="V20" s="10"/>
      <c r="W20" s="10"/>
      <c r="X20" s="10"/>
      <c r="Y20" s="10"/>
      <c r="Z20" s="10"/>
    </row>
    <row r="21" spans="1:26" ht="14.25">
      <c r="A21" s="10"/>
      <c r="B21" s="10"/>
      <c r="C21" s="30" t="s">
        <v>42</v>
      </c>
      <c r="D21" s="10"/>
      <c r="E21" s="31">
        <f>(D19+E19)*100/(H19-G19)</f>
        <v>100</v>
      </c>
      <c r="F21" s="32" t="s">
        <v>43</v>
      </c>
      <c r="G21" s="10"/>
      <c r="H21" s="10"/>
      <c r="I21" s="10"/>
      <c r="J21" s="10"/>
      <c r="K21" s="10"/>
      <c r="L21" s="10"/>
      <c r="M21" s="10"/>
      <c r="N21" s="10"/>
      <c r="O21" s="10"/>
      <c r="P21" s="10"/>
      <c r="Q21" s="10"/>
      <c r="R21" s="10"/>
      <c r="S21" s="10"/>
      <c r="T21" s="10"/>
      <c r="U21" s="10"/>
      <c r="V21" s="10"/>
      <c r="W21" s="10"/>
      <c r="X21" s="10"/>
      <c r="Y21" s="10"/>
      <c r="Z21" s="10"/>
    </row>
    <row r="22" spans="1:26" ht="14.25">
      <c r="A22" s="10"/>
      <c r="B22" s="10"/>
      <c r="C22" s="30" t="s">
        <v>44</v>
      </c>
      <c r="D22" s="10"/>
      <c r="E22" s="31">
        <f>D19*100/(H19-G19)</f>
        <v>96.969696969696969</v>
      </c>
      <c r="F22" s="32" t="s">
        <v>43</v>
      </c>
      <c r="G22" s="10"/>
      <c r="H22" s="10"/>
      <c r="I22" s="10"/>
      <c r="J22" s="10"/>
      <c r="K22" s="10"/>
      <c r="L22" s="10"/>
      <c r="M22" s="10"/>
      <c r="N22" s="10"/>
      <c r="O22" s="10"/>
      <c r="P22" s="10"/>
      <c r="Q22" s="10"/>
      <c r="R22" s="10"/>
      <c r="S22" s="10"/>
      <c r="T22" s="10"/>
      <c r="U22" s="10"/>
      <c r="V22" s="10"/>
      <c r="W22" s="10"/>
      <c r="X22" s="10"/>
      <c r="Y22" s="10"/>
      <c r="Z22" s="10"/>
    </row>
    <row r="23" spans="1:26" ht="14.25">
      <c r="A23" s="10"/>
      <c r="B23" s="10"/>
      <c r="C23" s="10" t="s">
        <v>45</v>
      </c>
      <c r="D23" s="10"/>
      <c r="E23" s="10"/>
      <c r="F23" s="10"/>
      <c r="G23" s="10"/>
      <c r="H23" s="10"/>
      <c r="I23" s="10"/>
      <c r="J23" s="10"/>
      <c r="K23" s="10"/>
      <c r="L23" s="10"/>
      <c r="M23" s="10"/>
      <c r="N23" s="10"/>
      <c r="O23" s="10"/>
      <c r="P23" s="10"/>
      <c r="Q23" s="10"/>
      <c r="R23" s="10"/>
      <c r="S23" s="10"/>
      <c r="T23" s="10"/>
      <c r="U23" s="10"/>
      <c r="V23" s="10"/>
      <c r="W23" s="10"/>
      <c r="X23" s="10"/>
      <c r="Y23" s="10"/>
      <c r="Z23" s="10"/>
    </row>
    <row r="24" spans="1:26" ht="14.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4.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4.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4.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4.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4.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4.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spans="1:26" ht="14.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spans="1:26" ht="14.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spans="1:26" ht="14.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spans="1:26" ht="14.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spans="1:26" ht="14.2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11">
    <mergeCell ref="C5:D5"/>
    <mergeCell ref="E5:F5"/>
    <mergeCell ref="G5:H5"/>
    <mergeCell ref="C6:H6"/>
    <mergeCell ref="B1:H1"/>
    <mergeCell ref="C3:D3"/>
    <mergeCell ref="E3:F3"/>
    <mergeCell ref="G3:H3"/>
    <mergeCell ref="C4:D4"/>
    <mergeCell ref="E4:F4"/>
    <mergeCell ref="G4:H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5"/>
  <sheetViews>
    <sheetView topLeftCell="A14" zoomScale="85" zoomScaleNormal="85" workbookViewId="0">
      <selection activeCell="G34" sqref="G34"/>
    </sheetView>
  </sheetViews>
  <sheetFormatPr defaultColWidth="12.5703125" defaultRowHeight="15.75" customHeight="1"/>
  <cols>
    <col min="2" max="2" width="22.85546875" customWidth="1"/>
    <col min="3" max="3" width="25.5703125" customWidth="1"/>
    <col min="4" max="4" width="24" customWidth="1"/>
    <col min="5" max="5" width="16.7109375" customWidth="1"/>
    <col min="6" max="6" width="9.42578125" customWidth="1"/>
    <col min="8" max="8" width="19.42578125" customWidth="1"/>
    <col min="9" max="9" width="10.42578125" customWidth="1"/>
    <col min="10" max="10" width="11.5703125" customWidth="1"/>
    <col min="11" max="11" width="17.42578125" customWidth="1"/>
    <col min="12" max="12" width="19.28515625" customWidth="1"/>
    <col min="13" max="13" width="12.7109375" customWidth="1"/>
    <col min="14" max="14" width="17.140625" customWidth="1"/>
    <col min="15" max="15" width="24.140625" customWidth="1"/>
  </cols>
  <sheetData>
    <row r="1" spans="1:26" ht="14.25">
      <c r="A1" s="10"/>
      <c r="B1" s="10"/>
      <c r="C1" s="10"/>
      <c r="D1" s="10"/>
      <c r="E1" s="10"/>
      <c r="F1" s="10"/>
      <c r="G1" s="10"/>
      <c r="H1" s="10"/>
      <c r="I1" s="10"/>
      <c r="J1" s="10"/>
      <c r="K1" s="10"/>
      <c r="L1" s="10"/>
      <c r="M1" s="10"/>
      <c r="N1" s="10"/>
      <c r="O1" s="10"/>
      <c r="P1" s="10"/>
    </row>
    <row r="2" spans="1:26" ht="14.25">
      <c r="A2" s="33" t="s">
        <v>46</v>
      </c>
      <c r="B2" s="182" t="s">
        <v>379</v>
      </c>
      <c r="C2" s="183"/>
      <c r="D2" s="183"/>
      <c r="E2" s="184"/>
      <c r="F2" s="10"/>
      <c r="G2" s="10"/>
      <c r="H2" s="10"/>
      <c r="I2" s="10"/>
      <c r="J2" s="10"/>
      <c r="K2" s="10"/>
      <c r="L2" s="10"/>
      <c r="M2" s="10"/>
      <c r="N2" s="10"/>
      <c r="O2" s="10"/>
      <c r="P2" s="10"/>
    </row>
    <row r="3" spans="1:26" ht="25.5">
      <c r="A3" s="34" t="s">
        <v>47</v>
      </c>
      <c r="B3" s="185" t="s">
        <v>380</v>
      </c>
      <c r="C3" s="164"/>
      <c r="D3" s="164"/>
      <c r="E3" s="186"/>
      <c r="F3" s="10"/>
      <c r="G3" s="10"/>
      <c r="H3" s="10"/>
      <c r="I3" s="10"/>
      <c r="J3" s="10"/>
      <c r="K3" s="10"/>
      <c r="L3" s="10"/>
      <c r="M3" s="10"/>
      <c r="N3" s="10"/>
      <c r="O3" s="10"/>
      <c r="P3" s="10"/>
    </row>
    <row r="4" spans="1:26" ht="25.5">
      <c r="A4" s="34" t="s">
        <v>48</v>
      </c>
      <c r="B4" s="187">
        <v>18</v>
      </c>
      <c r="C4" s="164"/>
      <c r="D4" s="164"/>
      <c r="E4" s="186"/>
      <c r="F4" s="10"/>
      <c r="G4" s="10"/>
      <c r="H4" s="10"/>
      <c r="I4" s="10"/>
      <c r="J4" s="10"/>
      <c r="K4" s="10"/>
      <c r="L4" s="10"/>
      <c r="M4" s="10"/>
      <c r="N4" s="10"/>
      <c r="O4" s="10"/>
      <c r="P4" s="10"/>
    </row>
    <row r="5" spans="1:26" ht="25.5">
      <c r="A5" s="35" t="s">
        <v>49</v>
      </c>
      <c r="B5" s="36" t="s">
        <v>36</v>
      </c>
      <c r="C5" s="36" t="s">
        <v>37</v>
      </c>
      <c r="D5" s="36" t="s">
        <v>38</v>
      </c>
      <c r="E5" s="37" t="s">
        <v>39</v>
      </c>
      <c r="F5" s="13"/>
      <c r="G5" s="10"/>
      <c r="H5" s="10"/>
      <c r="I5" s="10"/>
      <c r="J5" s="10"/>
      <c r="K5" s="10"/>
      <c r="L5" s="10"/>
      <c r="M5" s="10"/>
      <c r="N5" s="10"/>
      <c r="O5" s="10"/>
      <c r="P5" s="10"/>
    </row>
    <row r="6" spans="1:26" ht="14.25">
      <c r="A6" s="35" t="s">
        <v>50</v>
      </c>
      <c r="B6" s="38">
        <v>18</v>
      </c>
      <c r="C6" s="38">
        <f>COUNTIF(F:F, C5)</f>
        <v>0</v>
      </c>
      <c r="D6" s="38">
        <f>COUNTIF(G:G, D5)</f>
        <v>0</v>
      </c>
      <c r="E6" s="38">
        <f>COUNTIF(H:H, E5)</f>
        <v>0</v>
      </c>
      <c r="F6" s="10"/>
      <c r="G6" s="10"/>
      <c r="H6" s="10"/>
      <c r="I6" s="10"/>
      <c r="J6" s="10"/>
      <c r="K6" s="10"/>
      <c r="L6" s="10"/>
      <c r="M6" s="10"/>
      <c r="N6" s="10"/>
      <c r="O6" s="10"/>
      <c r="P6" s="10"/>
    </row>
    <row r="7" spans="1:26" ht="14.25">
      <c r="A7" s="35" t="s">
        <v>51</v>
      </c>
      <c r="B7" s="38">
        <v>18</v>
      </c>
      <c r="C7" s="38">
        <v>0</v>
      </c>
      <c r="D7" s="38">
        <v>0</v>
      </c>
      <c r="E7" s="38">
        <v>0</v>
      </c>
      <c r="F7" s="10"/>
      <c r="G7" s="10"/>
      <c r="H7" s="10"/>
      <c r="I7" s="10"/>
      <c r="J7" s="10"/>
      <c r="K7" s="10"/>
      <c r="L7" s="10"/>
      <c r="M7" s="10"/>
      <c r="N7" s="10"/>
      <c r="O7" s="10"/>
      <c r="P7" s="10"/>
    </row>
    <row r="8" spans="1:26" ht="14.25">
      <c r="A8" s="40" t="s">
        <v>52</v>
      </c>
      <c r="B8" s="41">
        <v>18</v>
      </c>
      <c r="C8" s="38">
        <f>COUNTIF(L:L, C5)</f>
        <v>0</v>
      </c>
      <c r="D8" s="38">
        <f>COUNTIF(M:M, D5)</f>
        <v>0</v>
      </c>
      <c r="E8" s="38">
        <f>COUNTIF(N:N, E5)</f>
        <v>0</v>
      </c>
      <c r="G8" s="10"/>
      <c r="H8" s="10"/>
      <c r="I8" s="10"/>
      <c r="J8" s="10"/>
      <c r="K8" s="10"/>
      <c r="L8" s="10"/>
      <c r="M8" s="10"/>
      <c r="N8" s="10"/>
      <c r="O8" s="10"/>
      <c r="P8" s="10"/>
    </row>
    <row r="9" spans="1:26" ht="14.25">
      <c r="A9" s="10"/>
      <c r="B9" s="10"/>
      <c r="C9" s="15"/>
      <c r="D9" s="10"/>
      <c r="E9" s="10"/>
      <c r="F9" s="10"/>
      <c r="G9" s="10"/>
      <c r="H9" s="10"/>
      <c r="I9" s="10"/>
      <c r="J9" s="10"/>
      <c r="K9" s="10"/>
      <c r="L9" s="10"/>
      <c r="M9" s="10"/>
      <c r="N9" s="10"/>
      <c r="O9" s="10"/>
      <c r="P9" s="10"/>
    </row>
    <row r="10" spans="1:26" ht="28.5" customHeight="1">
      <c r="A10" s="42" t="s">
        <v>53</v>
      </c>
      <c r="B10" s="42" t="s">
        <v>54</v>
      </c>
      <c r="C10" s="42" t="s">
        <v>55</v>
      </c>
      <c r="D10" s="42" t="s">
        <v>56</v>
      </c>
      <c r="E10" s="42" t="s">
        <v>57</v>
      </c>
      <c r="F10" s="42" t="s">
        <v>50</v>
      </c>
      <c r="G10" s="42" t="s">
        <v>58</v>
      </c>
      <c r="H10" s="42" t="s">
        <v>59</v>
      </c>
      <c r="I10" s="42" t="s">
        <v>51</v>
      </c>
      <c r="J10" s="42" t="s">
        <v>58</v>
      </c>
      <c r="K10" s="42" t="s">
        <v>59</v>
      </c>
      <c r="L10" s="42" t="s">
        <v>52</v>
      </c>
      <c r="M10" s="42" t="s">
        <v>58</v>
      </c>
      <c r="N10" s="42" t="s">
        <v>59</v>
      </c>
      <c r="O10" s="42" t="s">
        <v>60</v>
      </c>
      <c r="P10" s="10"/>
      <c r="Q10" s="42" t="s">
        <v>60</v>
      </c>
      <c r="R10" s="44"/>
      <c r="S10" s="44"/>
      <c r="T10" s="44"/>
      <c r="U10" s="44"/>
      <c r="V10" s="44"/>
      <c r="W10" s="44"/>
      <c r="X10" s="44"/>
      <c r="Y10" s="44"/>
      <c r="Z10" s="44"/>
    </row>
    <row r="11" spans="1:26" ht="14.25">
      <c r="A11" s="83" t="s">
        <v>381</v>
      </c>
      <c r="B11" s="84"/>
      <c r="C11" s="85"/>
      <c r="D11" s="85"/>
      <c r="E11" s="85"/>
      <c r="F11" s="86"/>
      <c r="G11" s="86"/>
      <c r="H11" s="86"/>
      <c r="I11" s="86"/>
      <c r="J11" s="86"/>
      <c r="K11" s="86"/>
      <c r="L11" s="86"/>
      <c r="M11" s="86"/>
      <c r="N11" s="86"/>
      <c r="O11" s="87"/>
      <c r="P11" s="10"/>
    </row>
    <row r="12" spans="1:26" ht="57" customHeight="1">
      <c r="A12" s="188" t="s">
        <v>61</v>
      </c>
      <c r="B12" s="188" t="s">
        <v>382</v>
      </c>
      <c r="C12" s="189" t="s">
        <v>385</v>
      </c>
      <c r="D12" s="189" t="s">
        <v>386</v>
      </c>
      <c r="E12" s="188" t="s">
        <v>383</v>
      </c>
      <c r="F12" s="188" t="s">
        <v>36</v>
      </c>
      <c r="G12" s="190">
        <v>46158</v>
      </c>
      <c r="H12" s="188" t="s">
        <v>377</v>
      </c>
      <c r="I12" s="188" t="s">
        <v>36</v>
      </c>
      <c r="J12" s="190">
        <v>46175</v>
      </c>
      <c r="K12" s="188" t="s">
        <v>377</v>
      </c>
      <c r="L12" s="188" t="s">
        <v>36</v>
      </c>
      <c r="M12" s="190">
        <v>46185</v>
      </c>
      <c r="N12" s="188" t="s">
        <v>377</v>
      </c>
      <c r="O12" s="188" t="s">
        <v>384</v>
      </c>
      <c r="P12" s="10"/>
    </row>
    <row r="13" spans="1:26" ht="14.25">
      <c r="A13" s="188"/>
      <c r="B13" s="188"/>
      <c r="C13" s="189"/>
      <c r="D13" s="189"/>
      <c r="E13" s="188"/>
      <c r="F13" s="188"/>
      <c r="G13" s="190"/>
      <c r="H13" s="188"/>
      <c r="I13" s="188"/>
      <c r="J13" s="190"/>
      <c r="K13" s="188"/>
      <c r="L13" s="188"/>
      <c r="M13" s="190"/>
      <c r="N13" s="188"/>
      <c r="O13" s="188"/>
      <c r="P13" s="10"/>
    </row>
    <row r="14" spans="1:26" ht="14.25">
      <c r="A14" s="188"/>
      <c r="B14" s="188"/>
      <c r="C14" s="189"/>
      <c r="D14" s="189"/>
      <c r="E14" s="188"/>
      <c r="F14" s="188"/>
      <c r="G14" s="190"/>
      <c r="H14" s="188"/>
      <c r="I14" s="188"/>
      <c r="J14" s="190"/>
      <c r="K14" s="188"/>
      <c r="L14" s="188"/>
      <c r="M14" s="190"/>
      <c r="N14" s="188"/>
      <c r="O14" s="188"/>
      <c r="P14" s="10"/>
    </row>
    <row r="15" spans="1:26" ht="57">
      <c r="A15" s="80" t="s">
        <v>62</v>
      </c>
      <c r="B15" s="80" t="s">
        <v>387</v>
      </c>
      <c r="C15" s="80" t="s">
        <v>398</v>
      </c>
      <c r="D15" s="80" t="s">
        <v>399</v>
      </c>
      <c r="E15" s="80" t="s">
        <v>388</v>
      </c>
      <c r="F15" s="80" t="s">
        <v>36</v>
      </c>
      <c r="G15" s="89">
        <v>46158</v>
      </c>
      <c r="H15" s="80" t="s">
        <v>377</v>
      </c>
      <c r="I15" s="80" t="s">
        <v>36</v>
      </c>
      <c r="J15" s="89">
        <v>46175</v>
      </c>
      <c r="K15" s="80" t="s">
        <v>377</v>
      </c>
      <c r="L15" s="80" t="s">
        <v>36</v>
      </c>
      <c r="M15" s="89">
        <v>46185</v>
      </c>
      <c r="N15" s="80" t="s">
        <v>377</v>
      </c>
      <c r="O15" s="82" t="s">
        <v>389</v>
      </c>
      <c r="P15" s="46"/>
    </row>
    <row r="16" spans="1:26" ht="42.75">
      <c r="A16" s="80" t="s">
        <v>63</v>
      </c>
      <c r="B16" s="80" t="s">
        <v>390</v>
      </c>
      <c r="C16" s="80" t="s">
        <v>391</v>
      </c>
      <c r="D16" s="80" t="s">
        <v>392</v>
      </c>
      <c r="E16" s="80" t="s">
        <v>64</v>
      </c>
      <c r="F16" s="80" t="s">
        <v>36</v>
      </c>
      <c r="G16" s="89">
        <v>46158</v>
      </c>
      <c r="H16" s="80" t="s">
        <v>377</v>
      </c>
      <c r="I16" s="80" t="s">
        <v>36</v>
      </c>
      <c r="J16" s="89">
        <v>46175</v>
      </c>
      <c r="K16" s="80" t="s">
        <v>377</v>
      </c>
      <c r="L16" s="80" t="s">
        <v>36</v>
      </c>
      <c r="M16" s="89">
        <v>46185</v>
      </c>
      <c r="N16" s="80" t="s">
        <v>377</v>
      </c>
      <c r="O16" s="82" t="s">
        <v>393</v>
      </c>
      <c r="P16" s="46"/>
    </row>
    <row r="17" spans="1:26" ht="57">
      <c r="A17" s="80" t="s">
        <v>394</v>
      </c>
      <c r="B17" s="80" t="s">
        <v>395</v>
      </c>
      <c r="C17" s="80" t="s">
        <v>404</v>
      </c>
      <c r="D17" s="80" t="s">
        <v>405</v>
      </c>
      <c r="E17" s="80" t="s">
        <v>396</v>
      </c>
      <c r="F17" s="80" t="s">
        <v>36</v>
      </c>
      <c r="G17" s="89">
        <v>46158</v>
      </c>
      <c r="H17" s="80" t="s">
        <v>377</v>
      </c>
      <c r="I17" s="80" t="s">
        <v>36</v>
      </c>
      <c r="J17" s="89">
        <v>46175</v>
      </c>
      <c r="K17" s="80" t="s">
        <v>377</v>
      </c>
      <c r="L17" s="80" t="s">
        <v>36</v>
      </c>
      <c r="M17" s="89">
        <v>46185</v>
      </c>
      <c r="N17" s="80" t="s">
        <v>377</v>
      </c>
      <c r="O17" s="82" t="s">
        <v>397</v>
      </c>
      <c r="P17" s="46"/>
    </row>
    <row r="18" spans="1:26" ht="42.75">
      <c r="A18" s="80" t="s">
        <v>400</v>
      </c>
      <c r="B18" s="80" t="s">
        <v>401</v>
      </c>
      <c r="C18" s="80" t="s">
        <v>406</v>
      </c>
      <c r="D18" s="80" t="s">
        <v>407</v>
      </c>
      <c r="E18" s="80" t="s">
        <v>402</v>
      </c>
      <c r="F18" s="80" t="s">
        <v>36</v>
      </c>
      <c r="G18" s="89">
        <v>46158</v>
      </c>
      <c r="H18" s="80" t="s">
        <v>377</v>
      </c>
      <c r="I18" s="80" t="s">
        <v>36</v>
      </c>
      <c r="J18" s="89">
        <v>46175</v>
      </c>
      <c r="K18" s="80" t="s">
        <v>377</v>
      </c>
      <c r="L18" s="80" t="s">
        <v>36</v>
      </c>
      <c r="M18" s="89">
        <v>46185</v>
      </c>
      <c r="N18" s="80" t="s">
        <v>377</v>
      </c>
      <c r="O18" s="82" t="s">
        <v>403</v>
      </c>
      <c r="P18" s="46"/>
    </row>
    <row r="19" spans="1:26" ht="14.25">
      <c r="A19" s="83" t="s">
        <v>408</v>
      </c>
      <c r="B19" s="84"/>
      <c r="C19" s="85"/>
      <c r="D19" s="85"/>
      <c r="E19" s="85"/>
      <c r="F19" s="86"/>
      <c r="G19" s="86"/>
      <c r="H19" s="86"/>
      <c r="I19" s="88"/>
      <c r="J19" s="88"/>
      <c r="K19" s="88"/>
      <c r="L19" s="88"/>
      <c r="M19" s="88"/>
      <c r="N19" s="88"/>
      <c r="O19" s="91"/>
      <c r="P19" s="10"/>
    </row>
    <row r="20" spans="1:26" ht="57">
      <c r="A20" s="80" t="s">
        <v>65</v>
      </c>
      <c r="B20" s="80" t="s">
        <v>409</v>
      </c>
      <c r="C20" s="80" t="s">
        <v>426</v>
      </c>
      <c r="D20" s="80" t="s">
        <v>437</v>
      </c>
      <c r="E20" s="80" t="s">
        <v>410</v>
      </c>
      <c r="F20" s="80" t="s">
        <v>36</v>
      </c>
      <c r="G20" s="89">
        <v>46158</v>
      </c>
      <c r="H20" s="80" t="s">
        <v>377</v>
      </c>
      <c r="I20" s="80" t="s">
        <v>36</v>
      </c>
      <c r="J20" s="89">
        <v>46175</v>
      </c>
      <c r="K20" s="80" t="s">
        <v>377</v>
      </c>
      <c r="L20" s="80" t="s">
        <v>36</v>
      </c>
      <c r="M20" s="89">
        <v>46185</v>
      </c>
      <c r="N20" s="80" t="s">
        <v>377</v>
      </c>
      <c r="O20" s="82" t="s">
        <v>411</v>
      </c>
      <c r="P20" s="10"/>
    </row>
    <row r="21" spans="1:26" ht="42.75">
      <c r="A21" s="80" t="s">
        <v>66</v>
      </c>
      <c r="B21" s="80" t="s">
        <v>412</v>
      </c>
      <c r="C21" s="80" t="s">
        <v>427</v>
      </c>
      <c r="D21" s="80" t="s">
        <v>436</v>
      </c>
      <c r="E21" s="80" t="s">
        <v>413</v>
      </c>
      <c r="F21" s="80" t="s">
        <v>36</v>
      </c>
      <c r="G21" s="89">
        <v>46158</v>
      </c>
      <c r="H21" s="80" t="s">
        <v>377</v>
      </c>
      <c r="I21" s="80" t="s">
        <v>36</v>
      </c>
      <c r="J21" s="89">
        <v>46175</v>
      </c>
      <c r="K21" s="80" t="s">
        <v>377</v>
      </c>
      <c r="L21" s="80" t="s">
        <v>36</v>
      </c>
      <c r="M21" s="89">
        <v>46185</v>
      </c>
      <c r="N21" s="80" t="s">
        <v>377</v>
      </c>
      <c r="O21" s="82" t="s">
        <v>414</v>
      </c>
      <c r="P21" s="10"/>
    </row>
    <row r="22" spans="1:26" ht="42.75">
      <c r="A22" s="80" t="s">
        <v>67</v>
      </c>
      <c r="B22" s="80" t="s">
        <v>415</v>
      </c>
      <c r="C22" s="80" t="s">
        <v>428</v>
      </c>
      <c r="D22" s="80" t="s">
        <v>435</v>
      </c>
      <c r="E22" s="80" t="s">
        <v>416</v>
      </c>
      <c r="F22" s="80" t="s">
        <v>36</v>
      </c>
      <c r="G22" s="89">
        <v>46158</v>
      </c>
      <c r="H22" s="80" t="s">
        <v>377</v>
      </c>
      <c r="I22" s="80" t="s">
        <v>36</v>
      </c>
      <c r="J22" s="89">
        <v>46175</v>
      </c>
      <c r="K22" s="80" t="s">
        <v>377</v>
      </c>
      <c r="L22" s="80" t="s">
        <v>36</v>
      </c>
      <c r="M22" s="89">
        <v>46185</v>
      </c>
      <c r="N22" s="80" t="s">
        <v>377</v>
      </c>
      <c r="O22" s="82" t="s">
        <v>414</v>
      </c>
      <c r="P22" s="10"/>
    </row>
    <row r="23" spans="1:26" ht="42.75">
      <c r="A23" s="80" t="s">
        <v>417</v>
      </c>
      <c r="B23" s="80" t="s">
        <v>418</v>
      </c>
      <c r="C23" s="80" t="s">
        <v>429</v>
      </c>
      <c r="D23" s="80" t="s">
        <v>434</v>
      </c>
      <c r="E23" s="80" t="s">
        <v>410</v>
      </c>
      <c r="F23" s="80" t="s">
        <v>36</v>
      </c>
      <c r="G23" s="89">
        <v>46158</v>
      </c>
      <c r="H23" s="80" t="s">
        <v>377</v>
      </c>
      <c r="I23" s="80" t="s">
        <v>36</v>
      </c>
      <c r="J23" s="89">
        <v>46175</v>
      </c>
      <c r="K23" s="80" t="s">
        <v>377</v>
      </c>
      <c r="L23" s="80" t="s">
        <v>36</v>
      </c>
      <c r="M23" s="89">
        <v>46185</v>
      </c>
      <c r="N23" s="80" t="s">
        <v>377</v>
      </c>
      <c r="O23" s="82" t="s">
        <v>419</v>
      </c>
      <c r="P23" s="46"/>
    </row>
    <row r="24" spans="1:26" ht="42.75">
      <c r="A24" s="80" t="s">
        <v>420</v>
      </c>
      <c r="B24" s="80" t="s">
        <v>421</v>
      </c>
      <c r="C24" s="80" t="s">
        <v>430</v>
      </c>
      <c r="D24" s="80" t="s">
        <v>433</v>
      </c>
      <c r="E24" s="80" t="s">
        <v>64</v>
      </c>
      <c r="F24" s="80" t="s">
        <v>36</v>
      </c>
      <c r="G24" s="89">
        <v>46158</v>
      </c>
      <c r="H24" s="80" t="s">
        <v>377</v>
      </c>
      <c r="I24" s="80" t="s">
        <v>36</v>
      </c>
      <c r="J24" s="89">
        <v>46175</v>
      </c>
      <c r="K24" s="80" t="s">
        <v>377</v>
      </c>
      <c r="L24" s="80" t="s">
        <v>36</v>
      </c>
      <c r="M24" s="89">
        <v>46185</v>
      </c>
      <c r="N24" s="80" t="s">
        <v>377</v>
      </c>
      <c r="O24" s="82" t="s">
        <v>422</v>
      </c>
      <c r="P24" s="46"/>
    </row>
    <row r="25" spans="1:26" ht="57">
      <c r="A25" s="80" t="s">
        <v>423</v>
      </c>
      <c r="B25" s="80" t="s">
        <v>424</v>
      </c>
      <c r="C25" s="80" t="s">
        <v>431</v>
      </c>
      <c r="D25" s="80" t="s">
        <v>432</v>
      </c>
      <c r="E25" s="80" t="s">
        <v>64</v>
      </c>
      <c r="F25" s="80" t="s">
        <v>36</v>
      </c>
      <c r="G25" s="89">
        <v>46158</v>
      </c>
      <c r="H25" s="80" t="s">
        <v>377</v>
      </c>
      <c r="I25" s="80" t="s">
        <v>36</v>
      </c>
      <c r="J25" s="89">
        <v>46175</v>
      </c>
      <c r="K25" s="80" t="s">
        <v>377</v>
      </c>
      <c r="L25" s="80" t="s">
        <v>36</v>
      </c>
      <c r="M25" s="89">
        <v>46185</v>
      </c>
      <c r="N25" s="80" t="s">
        <v>377</v>
      </c>
      <c r="O25" s="82" t="s">
        <v>425</v>
      </c>
      <c r="P25" s="46"/>
    </row>
    <row r="26" spans="1:26" ht="14.25">
      <c r="A26" s="83" t="s">
        <v>438</v>
      </c>
      <c r="B26" s="88"/>
      <c r="C26" s="88"/>
      <c r="D26" s="88"/>
      <c r="E26" s="88"/>
      <c r="F26" s="88"/>
      <c r="G26" s="88"/>
      <c r="H26" s="86"/>
      <c r="I26" s="88"/>
      <c r="J26" s="88"/>
      <c r="K26" s="88"/>
      <c r="L26" s="88"/>
      <c r="M26" s="88"/>
      <c r="N26" s="88"/>
      <c r="O26" s="92"/>
      <c r="P26" s="10"/>
    </row>
    <row r="27" spans="1:26" ht="57">
      <c r="A27" s="80" t="s">
        <v>68</v>
      </c>
      <c r="B27" s="80" t="s">
        <v>439</v>
      </c>
      <c r="C27" s="80" t="s">
        <v>440</v>
      </c>
      <c r="D27" s="80" t="s">
        <v>441</v>
      </c>
      <c r="E27" s="80" t="s">
        <v>64</v>
      </c>
      <c r="F27" s="80" t="s">
        <v>36</v>
      </c>
      <c r="G27" s="89">
        <v>46158</v>
      </c>
      <c r="H27" s="80" t="s">
        <v>377</v>
      </c>
      <c r="I27" s="80" t="s">
        <v>36</v>
      </c>
      <c r="J27" s="89">
        <v>46175</v>
      </c>
      <c r="K27" s="80" t="s">
        <v>377</v>
      </c>
      <c r="L27" s="80" t="s">
        <v>36</v>
      </c>
      <c r="M27" s="89">
        <v>46185</v>
      </c>
      <c r="N27" s="80" t="s">
        <v>377</v>
      </c>
      <c r="O27" s="82" t="s">
        <v>442</v>
      </c>
      <c r="P27" s="10"/>
    </row>
    <row r="28" spans="1:26" ht="57">
      <c r="A28" s="80" t="s">
        <v>69</v>
      </c>
      <c r="B28" s="80" t="s">
        <v>443</v>
      </c>
      <c r="C28" s="80" t="s">
        <v>444</v>
      </c>
      <c r="D28" s="80" t="s">
        <v>445</v>
      </c>
      <c r="E28" s="80" t="s">
        <v>446</v>
      </c>
      <c r="F28" s="80" t="s">
        <v>36</v>
      </c>
      <c r="G28" s="89">
        <v>46158</v>
      </c>
      <c r="H28" s="80" t="s">
        <v>377</v>
      </c>
      <c r="I28" s="80" t="s">
        <v>36</v>
      </c>
      <c r="J28" s="89">
        <v>46175</v>
      </c>
      <c r="K28" s="80" t="s">
        <v>377</v>
      </c>
      <c r="L28" s="80" t="s">
        <v>36</v>
      </c>
      <c r="M28" s="89">
        <v>46185</v>
      </c>
      <c r="N28" s="80" t="s">
        <v>377</v>
      </c>
      <c r="O28" s="82" t="s">
        <v>447</v>
      </c>
      <c r="P28" s="10"/>
    </row>
    <row r="29" spans="1:26" ht="42.75">
      <c r="A29" s="80" t="s">
        <v>70</v>
      </c>
      <c r="B29" s="80" t="s">
        <v>448</v>
      </c>
      <c r="C29" s="80" t="s">
        <v>449</v>
      </c>
      <c r="D29" s="80" t="s">
        <v>450</v>
      </c>
      <c r="E29" s="80" t="s">
        <v>64</v>
      </c>
      <c r="F29" s="80" t="s">
        <v>36</v>
      </c>
      <c r="G29" s="89">
        <v>46158</v>
      </c>
      <c r="H29" s="80" t="s">
        <v>377</v>
      </c>
      <c r="I29" s="80" t="s">
        <v>36</v>
      </c>
      <c r="J29" s="89">
        <v>46175</v>
      </c>
      <c r="K29" s="80" t="s">
        <v>377</v>
      </c>
      <c r="L29" s="80" t="s">
        <v>36</v>
      </c>
      <c r="M29" s="89">
        <v>46185</v>
      </c>
      <c r="N29" s="80" t="s">
        <v>377</v>
      </c>
      <c r="O29" s="82" t="s">
        <v>451</v>
      </c>
      <c r="P29" s="10"/>
      <c r="Q29" s="10"/>
      <c r="R29" s="10"/>
      <c r="S29" s="10"/>
      <c r="T29" s="10"/>
      <c r="U29" s="10"/>
      <c r="V29" s="10"/>
      <c r="W29" s="10"/>
      <c r="X29" s="10"/>
      <c r="Y29" s="10"/>
      <c r="Z29" s="10"/>
    </row>
    <row r="30" spans="1:26" ht="14.25">
      <c r="A30" s="83" t="s">
        <v>452</v>
      </c>
      <c r="B30" s="88"/>
      <c r="C30" s="88"/>
      <c r="D30" s="88"/>
      <c r="E30" s="88"/>
      <c r="F30" s="88"/>
      <c r="G30" s="88"/>
      <c r="H30" s="86"/>
      <c r="I30" s="88"/>
      <c r="J30" s="88"/>
      <c r="K30" s="88"/>
      <c r="L30" s="88"/>
      <c r="M30" s="88"/>
      <c r="N30" s="88"/>
      <c r="O30" s="92"/>
      <c r="P30" s="10"/>
      <c r="Q30" s="10"/>
      <c r="R30" s="45"/>
      <c r="S30" s="45"/>
      <c r="T30" s="45"/>
      <c r="U30" s="45"/>
      <c r="V30" s="45"/>
      <c r="W30" s="45"/>
      <c r="X30" s="45"/>
      <c r="Y30" s="45"/>
      <c r="Z30" s="45"/>
    </row>
    <row r="31" spans="1:26" ht="42.75">
      <c r="A31" s="80" t="s">
        <v>71</v>
      </c>
      <c r="B31" s="80" t="s">
        <v>453</v>
      </c>
      <c r="C31" s="80" t="s">
        <v>454</v>
      </c>
      <c r="D31" s="80" t="s">
        <v>455</v>
      </c>
      <c r="E31" s="80" t="s">
        <v>456</v>
      </c>
      <c r="F31" s="80" t="s">
        <v>36</v>
      </c>
      <c r="G31" s="89">
        <v>46158</v>
      </c>
      <c r="H31" s="80" t="s">
        <v>377</v>
      </c>
      <c r="I31" s="80" t="s">
        <v>36</v>
      </c>
      <c r="J31" s="89">
        <v>46175</v>
      </c>
      <c r="K31" s="80" t="s">
        <v>377</v>
      </c>
      <c r="L31" s="80" t="s">
        <v>36</v>
      </c>
      <c r="M31" s="89">
        <v>46185</v>
      </c>
      <c r="N31" s="80" t="s">
        <v>377</v>
      </c>
      <c r="O31" s="82" t="s">
        <v>457</v>
      </c>
      <c r="P31" s="10"/>
      <c r="Q31" s="10"/>
    </row>
    <row r="32" spans="1:26" ht="57">
      <c r="A32" s="80" t="s">
        <v>72</v>
      </c>
      <c r="B32" s="80" t="s">
        <v>458</v>
      </c>
      <c r="C32" s="80" t="s">
        <v>459</v>
      </c>
      <c r="D32" s="80" t="s">
        <v>460</v>
      </c>
      <c r="E32" s="80" t="s">
        <v>461</v>
      </c>
      <c r="F32" s="80" t="s">
        <v>36</v>
      </c>
      <c r="G32" s="89">
        <v>46158</v>
      </c>
      <c r="H32" s="80" t="s">
        <v>377</v>
      </c>
      <c r="I32" s="80" t="s">
        <v>36</v>
      </c>
      <c r="J32" s="89">
        <v>46175</v>
      </c>
      <c r="K32" s="80" t="s">
        <v>377</v>
      </c>
      <c r="L32" s="80" t="s">
        <v>36</v>
      </c>
      <c r="M32" s="89">
        <v>46185</v>
      </c>
      <c r="N32" s="80" t="s">
        <v>377</v>
      </c>
      <c r="O32" s="82" t="s">
        <v>462</v>
      </c>
      <c r="P32" s="10"/>
      <c r="Q32" s="10"/>
    </row>
    <row r="33" spans="1:26" ht="42.75">
      <c r="A33" s="80" t="s">
        <v>73</v>
      </c>
      <c r="B33" s="80" t="s">
        <v>463</v>
      </c>
      <c r="C33" s="80" t="s">
        <v>464</v>
      </c>
      <c r="D33" s="80" t="s">
        <v>465</v>
      </c>
      <c r="E33" s="80" t="s">
        <v>466</v>
      </c>
      <c r="F33" s="80" t="s">
        <v>36</v>
      </c>
      <c r="G33" s="89">
        <v>46158</v>
      </c>
      <c r="H33" s="80" t="s">
        <v>377</v>
      </c>
      <c r="I33" s="80" t="s">
        <v>36</v>
      </c>
      <c r="J33" s="89">
        <v>46175</v>
      </c>
      <c r="K33" s="80" t="s">
        <v>377</v>
      </c>
      <c r="L33" s="80" t="s">
        <v>36</v>
      </c>
      <c r="M33" s="89">
        <v>46185</v>
      </c>
      <c r="N33" s="80" t="s">
        <v>377</v>
      </c>
      <c r="O33" s="82" t="s">
        <v>467</v>
      </c>
      <c r="P33" s="10"/>
      <c r="Q33" s="10"/>
    </row>
    <row r="34" spans="1:26" ht="14.25">
      <c r="A34" s="93"/>
      <c r="B34" s="93"/>
      <c r="C34" s="93"/>
      <c r="D34" s="93"/>
      <c r="E34" s="93"/>
      <c r="F34" s="93"/>
      <c r="G34" s="93"/>
      <c r="H34" s="94"/>
      <c r="I34" s="93"/>
      <c r="J34" s="93"/>
      <c r="K34" s="93"/>
      <c r="L34" s="93"/>
      <c r="M34" s="93"/>
      <c r="N34" s="93"/>
      <c r="O34" s="95"/>
      <c r="P34" s="10"/>
      <c r="Q34" s="10"/>
      <c r="R34" s="45"/>
      <c r="S34" s="45"/>
      <c r="T34" s="45"/>
      <c r="U34" s="45"/>
      <c r="V34" s="45"/>
      <c r="W34" s="45"/>
      <c r="X34" s="45"/>
      <c r="Y34" s="45"/>
      <c r="Z34" s="45"/>
    </row>
    <row r="35" spans="1:26" ht="14.25">
      <c r="A35" s="96"/>
      <c r="B35" s="97"/>
      <c r="C35" s="97"/>
      <c r="D35" s="97"/>
      <c r="E35" s="97"/>
      <c r="F35" s="96"/>
      <c r="G35" s="98"/>
      <c r="H35" s="99"/>
      <c r="I35" s="96"/>
      <c r="J35" s="100"/>
      <c r="K35" s="96"/>
      <c r="L35" s="96"/>
      <c r="M35" s="98"/>
      <c r="N35" s="99"/>
      <c r="O35" s="101"/>
      <c r="P35" s="10"/>
      <c r="Q35" s="10"/>
    </row>
    <row r="36" spans="1:26" ht="14.25">
      <c r="A36" s="96"/>
      <c r="B36" s="97"/>
      <c r="C36" s="97"/>
      <c r="D36" s="97"/>
      <c r="E36" s="97"/>
      <c r="F36" s="96"/>
      <c r="G36" s="98"/>
      <c r="H36" s="99"/>
      <c r="I36" s="96"/>
      <c r="J36" s="100"/>
      <c r="K36" s="96"/>
      <c r="L36" s="96"/>
      <c r="M36" s="98"/>
      <c r="N36" s="99"/>
      <c r="O36" s="101"/>
      <c r="P36" s="10"/>
      <c r="Q36" s="10"/>
    </row>
    <row r="37" spans="1:26" ht="14.25">
      <c r="A37" s="96"/>
      <c r="B37" s="97"/>
      <c r="C37" s="97"/>
      <c r="D37" s="97"/>
      <c r="E37" s="97"/>
      <c r="F37" s="96"/>
      <c r="G37" s="98"/>
      <c r="H37" s="99"/>
      <c r="I37" s="96"/>
      <c r="J37" s="100"/>
      <c r="K37" s="96"/>
      <c r="L37" s="96"/>
      <c r="M37" s="98"/>
      <c r="N37" s="99"/>
      <c r="O37" s="101"/>
      <c r="P37" s="10"/>
      <c r="Q37" s="10"/>
    </row>
    <row r="38" spans="1:26" ht="14.25">
      <c r="A38" s="93"/>
      <c r="B38" s="93"/>
      <c r="C38" s="93"/>
      <c r="D38" s="93"/>
      <c r="E38" s="93"/>
      <c r="F38" s="93"/>
      <c r="G38" s="93"/>
      <c r="H38" s="94"/>
      <c r="I38" s="93"/>
      <c r="J38" s="94"/>
      <c r="K38" s="93"/>
      <c r="L38" s="93"/>
      <c r="M38" s="93"/>
      <c r="N38" s="93"/>
      <c r="O38" s="93"/>
      <c r="P38" s="10"/>
      <c r="Q38" s="10"/>
      <c r="R38" s="45"/>
      <c r="S38" s="45"/>
      <c r="T38" s="45"/>
      <c r="U38" s="45"/>
      <c r="V38" s="45"/>
      <c r="W38" s="45"/>
      <c r="X38" s="45"/>
      <c r="Y38" s="45"/>
      <c r="Z38" s="45"/>
    </row>
    <row r="39" spans="1:26" ht="14.25">
      <c r="A39" s="96"/>
      <c r="B39" s="97"/>
      <c r="C39" s="97"/>
      <c r="D39" s="97"/>
      <c r="E39" s="97"/>
      <c r="F39" s="96"/>
      <c r="G39" s="98"/>
      <c r="H39" s="99"/>
      <c r="I39" s="96"/>
      <c r="J39" s="100"/>
      <c r="K39" s="96"/>
      <c r="L39" s="96"/>
      <c r="M39" s="100"/>
      <c r="N39" s="96"/>
      <c r="O39" s="96"/>
      <c r="P39" s="10"/>
      <c r="Q39" s="10"/>
    </row>
    <row r="40" spans="1:26" ht="14.25">
      <c r="A40" s="96"/>
      <c r="B40" s="97"/>
      <c r="C40" s="97"/>
      <c r="D40" s="97"/>
      <c r="E40" s="97"/>
      <c r="F40" s="96"/>
      <c r="G40" s="98"/>
      <c r="H40" s="99"/>
      <c r="I40" s="96"/>
      <c r="J40" s="100"/>
      <c r="K40" s="96"/>
      <c r="L40" s="96"/>
      <c r="M40" s="100"/>
      <c r="N40" s="96"/>
      <c r="O40" s="97"/>
      <c r="P40" s="10"/>
      <c r="Q40" s="10"/>
    </row>
    <row r="41" spans="1:26" ht="14.25">
      <c r="A41" s="96"/>
      <c r="B41" s="97"/>
      <c r="C41" s="97"/>
      <c r="D41" s="97"/>
      <c r="E41" s="97"/>
      <c r="F41" s="96"/>
      <c r="G41" s="98"/>
      <c r="H41" s="99"/>
      <c r="I41" s="96"/>
      <c r="J41" s="100"/>
      <c r="K41" s="96"/>
      <c r="L41" s="96"/>
      <c r="M41" s="100"/>
      <c r="N41" s="96"/>
      <c r="O41" s="97"/>
      <c r="P41" s="10"/>
      <c r="Q41" s="10"/>
    </row>
    <row r="42" spans="1:26" ht="14.25">
      <c r="A42" s="93"/>
      <c r="B42" s="93"/>
      <c r="C42" s="93"/>
      <c r="D42" s="93"/>
      <c r="E42" s="93"/>
      <c r="F42" s="93"/>
      <c r="G42" s="93"/>
      <c r="H42" s="93"/>
      <c r="I42" s="93"/>
      <c r="J42" s="93"/>
      <c r="K42" s="93"/>
      <c r="L42" s="93"/>
      <c r="M42" s="93"/>
      <c r="N42" s="93"/>
      <c r="O42" s="93"/>
      <c r="P42" s="10"/>
      <c r="Q42" s="10"/>
      <c r="R42" s="45"/>
      <c r="S42" s="45"/>
      <c r="T42" s="45"/>
      <c r="U42" s="45"/>
      <c r="V42" s="45"/>
      <c r="W42" s="45"/>
      <c r="X42" s="45"/>
      <c r="Y42" s="45"/>
      <c r="Z42" s="45"/>
    </row>
    <row r="43" spans="1:26" ht="14.25">
      <c r="A43" s="96"/>
      <c r="B43" s="97"/>
      <c r="C43" s="97"/>
      <c r="D43" s="97"/>
      <c r="E43" s="97"/>
      <c r="F43" s="96"/>
      <c r="G43" s="98"/>
      <c r="H43" s="99"/>
      <c r="I43" s="96"/>
      <c r="J43" s="100"/>
      <c r="K43" s="96"/>
      <c r="L43" s="96"/>
      <c r="M43" s="98"/>
      <c r="N43" s="99"/>
      <c r="O43" s="96"/>
      <c r="P43" s="10"/>
      <c r="Q43" s="10"/>
    </row>
    <row r="44" spans="1:26" ht="14.25">
      <c r="A44" s="96"/>
      <c r="B44" s="97"/>
      <c r="C44" s="97"/>
      <c r="D44" s="97"/>
      <c r="E44" s="97"/>
      <c r="F44" s="96"/>
      <c r="G44" s="98"/>
      <c r="H44" s="99"/>
      <c r="I44" s="96"/>
      <c r="J44" s="100"/>
      <c r="K44" s="96"/>
      <c r="L44" s="96"/>
      <c r="M44" s="98"/>
      <c r="N44" s="99"/>
      <c r="O44" s="96"/>
      <c r="P44" s="10"/>
      <c r="Q44" s="10"/>
    </row>
    <row r="45" spans="1:26" ht="14.25">
      <c r="A45" s="96"/>
      <c r="B45" s="97"/>
      <c r="C45" s="97"/>
      <c r="D45" s="97"/>
      <c r="E45" s="97"/>
      <c r="F45" s="96"/>
      <c r="G45" s="98"/>
      <c r="H45" s="99"/>
      <c r="I45" s="96"/>
      <c r="J45" s="100"/>
      <c r="K45" s="96"/>
      <c r="L45" s="96"/>
      <c r="M45" s="98"/>
      <c r="N45" s="99"/>
      <c r="O45" s="96"/>
      <c r="P45" s="10"/>
      <c r="Q45" s="10"/>
    </row>
    <row r="46" spans="1:26" ht="14.25">
      <c r="A46" s="93"/>
      <c r="B46" s="93"/>
      <c r="C46" s="93"/>
      <c r="D46" s="93"/>
      <c r="E46" s="93"/>
      <c r="F46" s="93"/>
      <c r="G46" s="93"/>
      <c r="H46" s="93"/>
      <c r="I46" s="93"/>
      <c r="J46" s="93"/>
      <c r="K46" s="93"/>
      <c r="L46" s="93"/>
      <c r="M46" s="93"/>
      <c r="N46" s="93"/>
      <c r="O46" s="93"/>
      <c r="P46" s="10"/>
      <c r="Q46" s="10"/>
      <c r="R46" s="45"/>
      <c r="S46" s="45"/>
      <c r="T46" s="45"/>
      <c r="U46" s="45"/>
      <c r="V46" s="45"/>
      <c r="W46" s="45"/>
      <c r="X46" s="45"/>
      <c r="Y46" s="45"/>
      <c r="Z46" s="45"/>
    </row>
    <row r="47" spans="1:26" ht="14.25">
      <c r="A47" s="96"/>
      <c r="B47" s="97"/>
      <c r="C47" s="97"/>
      <c r="D47" s="97"/>
      <c r="E47" s="97"/>
      <c r="F47" s="96"/>
      <c r="G47" s="98"/>
      <c r="H47" s="99"/>
      <c r="I47" s="96"/>
      <c r="J47" s="100"/>
      <c r="K47" s="96"/>
      <c r="L47" s="96"/>
      <c r="M47" s="98"/>
      <c r="N47" s="99"/>
      <c r="O47" s="96"/>
      <c r="P47" s="10"/>
      <c r="Q47" s="10"/>
    </row>
    <row r="48" spans="1:26" ht="14.25">
      <c r="A48" s="96"/>
      <c r="B48" s="97"/>
      <c r="C48" s="97"/>
      <c r="D48" s="97"/>
      <c r="E48" s="97"/>
      <c r="F48" s="96"/>
      <c r="G48" s="98"/>
      <c r="H48" s="99"/>
      <c r="I48" s="96"/>
      <c r="J48" s="100"/>
      <c r="K48" s="96"/>
      <c r="L48" s="96"/>
      <c r="M48" s="98"/>
      <c r="N48" s="99"/>
      <c r="O48" s="96"/>
      <c r="P48" s="10"/>
      <c r="Q48" s="10"/>
    </row>
    <row r="49" spans="1:26" ht="14.25">
      <c r="A49" s="96"/>
      <c r="B49" s="97"/>
      <c r="C49" s="97"/>
      <c r="D49" s="97"/>
      <c r="E49" s="97"/>
      <c r="F49" s="96"/>
      <c r="G49" s="98"/>
      <c r="H49" s="99"/>
      <c r="I49" s="96"/>
      <c r="J49" s="100"/>
      <c r="K49" s="96"/>
      <c r="L49" s="96"/>
      <c r="M49" s="98"/>
      <c r="N49" s="99"/>
      <c r="O49" s="96"/>
      <c r="P49" s="10"/>
      <c r="Q49" s="10"/>
    </row>
    <row r="50" spans="1:26" ht="14.25">
      <c r="A50" s="93"/>
      <c r="B50" s="93"/>
      <c r="C50" s="93"/>
      <c r="D50" s="93"/>
      <c r="E50" s="93"/>
      <c r="F50" s="93"/>
      <c r="G50" s="93"/>
      <c r="H50" s="93"/>
      <c r="I50" s="93"/>
      <c r="J50" s="93"/>
      <c r="K50" s="93"/>
      <c r="L50" s="93"/>
      <c r="M50" s="93"/>
      <c r="N50" s="93"/>
      <c r="O50" s="93"/>
      <c r="P50" s="10"/>
      <c r="Q50" s="10"/>
      <c r="R50" s="45"/>
      <c r="S50" s="45"/>
      <c r="T50" s="45"/>
      <c r="U50" s="45"/>
      <c r="V50" s="45"/>
      <c r="W50" s="45"/>
      <c r="X50" s="45"/>
      <c r="Y50" s="45"/>
      <c r="Z50" s="45"/>
    </row>
    <row r="51" spans="1:26" ht="14.25">
      <c r="A51" s="96"/>
      <c r="B51" s="97"/>
      <c r="C51" s="97"/>
      <c r="D51" s="97"/>
      <c r="E51" s="97"/>
      <c r="F51" s="96"/>
      <c r="G51" s="98"/>
      <c r="H51" s="99"/>
      <c r="I51" s="96"/>
      <c r="J51" s="100"/>
      <c r="K51" s="96"/>
      <c r="L51" s="96"/>
      <c r="M51" s="98"/>
      <c r="N51" s="99"/>
      <c r="O51" s="96"/>
      <c r="P51" s="10"/>
      <c r="Q51" s="10"/>
    </row>
    <row r="52" spans="1:26" ht="14.25">
      <c r="A52" s="96"/>
      <c r="B52" s="97"/>
      <c r="C52" s="97"/>
      <c r="D52" s="97"/>
      <c r="E52" s="97"/>
      <c r="F52" s="96"/>
      <c r="G52" s="98"/>
      <c r="H52" s="99"/>
      <c r="I52" s="96"/>
      <c r="J52" s="100"/>
      <c r="K52" s="96"/>
      <c r="L52" s="96"/>
      <c r="M52" s="98"/>
      <c r="N52" s="99"/>
      <c r="O52" s="96"/>
      <c r="P52" s="10"/>
      <c r="Q52" s="10"/>
    </row>
    <row r="53" spans="1:26" ht="14.25">
      <c r="A53" s="96"/>
      <c r="B53" s="97"/>
      <c r="C53" s="97"/>
      <c r="D53" s="97"/>
      <c r="E53" s="97"/>
      <c r="F53" s="96"/>
      <c r="G53" s="98"/>
      <c r="H53" s="99"/>
      <c r="I53" s="96"/>
      <c r="J53" s="100"/>
      <c r="K53" s="96"/>
      <c r="L53" s="96"/>
      <c r="M53" s="98"/>
      <c r="N53" s="99"/>
      <c r="O53" s="96"/>
      <c r="P53" s="10"/>
      <c r="Q53" s="10"/>
    </row>
    <row r="54" spans="1:26" ht="14.25">
      <c r="A54" s="93"/>
      <c r="B54" s="93"/>
      <c r="C54" s="93"/>
      <c r="D54" s="93"/>
      <c r="E54" s="93"/>
      <c r="F54" s="93"/>
      <c r="G54" s="93"/>
      <c r="H54" s="93"/>
      <c r="I54" s="93"/>
      <c r="J54" s="93"/>
      <c r="K54" s="93"/>
      <c r="L54" s="93"/>
      <c r="M54" s="93"/>
      <c r="N54" s="93"/>
      <c r="O54" s="93"/>
      <c r="P54" s="10"/>
      <c r="Q54" s="10"/>
      <c r="R54" s="45"/>
      <c r="S54" s="45"/>
      <c r="T54" s="45"/>
      <c r="U54" s="45"/>
      <c r="V54" s="45"/>
      <c r="W54" s="45"/>
      <c r="X54" s="45"/>
      <c r="Y54" s="45"/>
      <c r="Z54" s="45"/>
    </row>
    <row r="55" spans="1:26" ht="14.25">
      <c r="A55" s="96"/>
      <c r="B55" s="97"/>
      <c r="C55" s="97"/>
      <c r="D55" s="97"/>
      <c r="E55" s="97"/>
      <c r="F55" s="96"/>
      <c r="G55" s="98"/>
      <c r="H55" s="99"/>
      <c r="I55" s="96"/>
      <c r="J55" s="100"/>
      <c r="K55" s="96"/>
      <c r="L55" s="96"/>
      <c r="M55" s="98"/>
      <c r="N55" s="99"/>
      <c r="O55" s="96"/>
      <c r="P55" s="10"/>
      <c r="Q55" s="10"/>
    </row>
    <row r="56" spans="1:26" ht="14.25">
      <c r="A56" s="96"/>
      <c r="B56" s="97"/>
      <c r="C56" s="97"/>
      <c r="D56" s="97"/>
      <c r="E56" s="97"/>
      <c r="F56" s="96"/>
      <c r="G56" s="98"/>
      <c r="H56" s="99"/>
      <c r="I56" s="96"/>
      <c r="J56" s="100"/>
      <c r="K56" s="96"/>
      <c r="L56" s="96"/>
      <c r="M56" s="98"/>
      <c r="N56" s="99"/>
      <c r="O56" s="96"/>
      <c r="P56" s="10"/>
      <c r="Q56" s="10"/>
    </row>
    <row r="57" spans="1:26" ht="14.25">
      <c r="A57" s="96"/>
      <c r="B57" s="97"/>
      <c r="C57" s="97"/>
      <c r="D57" s="97"/>
      <c r="E57" s="97"/>
      <c r="F57" s="96"/>
      <c r="G57" s="98"/>
      <c r="H57" s="99"/>
      <c r="I57" s="96"/>
      <c r="J57" s="100"/>
      <c r="K57" s="96"/>
      <c r="L57" s="96"/>
      <c r="M57" s="98"/>
      <c r="N57" s="99"/>
      <c r="O57" s="96"/>
      <c r="P57" s="10"/>
      <c r="Q57" s="10"/>
    </row>
    <row r="58" spans="1:26" ht="14.25">
      <c r="A58" s="93"/>
      <c r="B58" s="93"/>
      <c r="C58" s="93"/>
      <c r="D58" s="93"/>
      <c r="E58" s="93"/>
      <c r="F58" s="93"/>
      <c r="G58" s="93"/>
      <c r="H58" s="93"/>
      <c r="I58" s="93"/>
      <c r="J58" s="93"/>
      <c r="K58" s="93"/>
      <c r="L58" s="93"/>
      <c r="M58" s="93"/>
      <c r="N58" s="93"/>
      <c r="O58" s="93"/>
      <c r="P58" s="10"/>
      <c r="Q58" s="10"/>
      <c r="R58" s="45"/>
      <c r="S58" s="45"/>
      <c r="T58" s="45"/>
      <c r="U58" s="45"/>
      <c r="V58" s="45"/>
      <c r="W58" s="45"/>
      <c r="X58" s="45"/>
      <c r="Y58" s="45"/>
      <c r="Z58" s="45"/>
    </row>
    <row r="59" spans="1:26" ht="14.25">
      <c r="A59" s="96"/>
      <c r="B59" s="97"/>
      <c r="C59" s="97"/>
      <c r="D59" s="97"/>
      <c r="E59" s="97"/>
      <c r="F59" s="96"/>
      <c r="G59" s="98"/>
      <c r="H59" s="99"/>
      <c r="I59" s="96"/>
      <c r="J59" s="100"/>
      <c r="K59" s="96"/>
      <c r="L59" s="96"/>
      <c r="M59" s="98"/>
      <c r="N59" s="99"/>
      <c r="O59" s="96"/>
      <c r="P59" s="10"/>
      <c r="Q59" s="10"/>
    </row>
    <row r="60" spans="1:26" ht="14.25">
      <c r="A60" s="96"/>
      <c r="B60" s="97"/>
      <c r="C60" s="97"/>
      <c r="D60" s="97"/>
      <c r="E60" s="97"/>
      <c r="F60" s="96"/>
      <c r="G60" s="98"/>
      <c r="H60" s="99"/>
      <c r="I60" s="96"/>
      <c r="J60" s="100"/>
      <c r="K60" s="96"/>
      <c r="L60" s="96"/>
      <c r="M60" s="98"/>
      <c r="N60" s="99"/>
      <c r="O60" s="96"/>
      <c r="P60" s="10"/>
      <c r="Q60" s="10"/>
    </row>
    <row r="61" spans="1:26" ht="14.25">
      <c r="A61" s="96"/>
      <c r="B61" s="97"/>
      <c r="C61" s="97"/>
      <c r="D61" s="97"/>
      <c r="E61" s="97"/>
      <c r="F61" s="96"/>
      <c r="G61" s="98"/>
      <c r="H61" s="99"/>
      <c r="I61" s="96"/>
      <c r="J61" s="100"/>
      <c r="K61" s="96"/>
      <c r="L61" s="96"/>
      <c r="M61" s="98"/>
      <c r="N61" s="99"/>
      <c r="O61" s="96"/>
      <c r="P61" s="10"/>
      <c r="Q61" s="10"/>
    </row>
    <row r="62" spans="1:26" ht="14.25">
      <c r="A62" s="93"/>
      <c r="B62" s="93"/>
      <c r="C62" s="93"/>
      <c r="D62" s="93"/>
      <c r="E62" s="93"/>
      <c r="F62" s="93"/>
      <c r="G62" s="93"/>
      <c r="H62" s="93"/>
      <c r="I62" s="93"/>
      <c r="J62" s="93"/>
      <c r="K62" s="93"/>
      <c r="L62" s="93"/>
      <c r="M62" s="93"/>
      <c r="N62" s="93"/>
      <c r="O62" s="93"/>
      <c r="P62" s="10"/>
      <c r="Q62" s="10"/>
      <c r="R62" s="45"/>
      <c r="S62" s="45"/>
      <c r="T62" s="45"/>
      <c r="U62" s="45"/>
      <c r="V62" s="45"/>
      <c r="W62" s="45"/>
      <c r="X62" s="45"/>
      <c r="Y62" s="45"/>
      <c r="Z62" s="45"/>
    </row>
    <row r="63" spans="1:26" ht="14.25">
      <c r="A63" s="96"/>
      <c r="B63" s="97"/>
      <c r="C63" s="97"/>
      <c r="D63" s="97"/>
      <c r="E63" s="97"/>
      <c r="F63" s="96"/>
      <c r="G63" s="98"/>
      <c r="H63" s="99"/>
      <c r="I63" s="96"/>
      <c r="J63" s="100"/>
      <c r="K63" s="96"/>
      <c r="L63" s="96"/>
      <c r="M63" s="100"/>
      <c r="N63" s="96"/>
      <c r="O63" s="96"/>
      <c r="P63" s="10"/>
      <c r="Q63" s="10"/>
    </row>
    <row r="64" spans="1:26" ht="14.25">
      <c r="A64" s="96"/>
      <c r="B64" s="97"/>
      <c r="C64" s="97"/>
      <c r="D64" s="97"/>
      <c r="E64" s="97"/>
      <c r="F64" s="96"/>
      <c r="G64" s="98"/>
      <c r="H64" s="99"/>
      <c r="I64" s="96"/>
      <c r="J64" s="100"/>
      <c r="K64" s="96"/>
      <c r="L64" s="96"/>
      <c r="M64" s="100"/>
      <c r="N64" s="96"/>
      <c r="O64" s="96"/>
      <c r="P64" s="10"/>
      <c r="Q64" s="10"/>
    </row>
    <row r="65" spans="1:26" ht="14.25">
      <c r="A65" s="96"/>
      <c r="B65" s="97"/>
      <c r="C65" s="97"/>
      <c r="D65" s="97"/>
      <c r="E65" s="97"/>
      <c r="F65" s="96"/>
      <c r="G65" s="98"/>
      <c r="H65" s="99"/>
      <c r="I65" s="96"/>
      <c r="J65" s="100"/>
      <c r="K65" s="96"/>
      <c r="L65" s="96"/>
      <c r="M65" s="100"/>
      <c r="N65" s="96"/>
      <c r="O65" s="96"/>
      <c r="P65" s="10"/>
      <c r="Q65" s="10"/>
    </row>
    <row r="66" spans="1:26" ht="14.25">
      <c r="A66" s="93"/>
      <c r="B66" s="93"/>
      <c r="C66" s="93"/>
      <c r="D66" s="93"/>
      <c r="E66" s="93"/>
      <c r="F66" s="93"/>
      <c r="G66" s="93"/>
      <c r="H66" s="93"/>
      <c r="I66" s="93"/>
      <c r="J66" s="93"/>
      <c r="K66" s="93"/>
      <c r="L66" s="93"/>
      <c r="M66" s="93"/>
      <c r="N66" s="93"/>
      <c r="O66" s="93"/>
      <c r="P66" s="10"/>
      <c r="Q66" s="10"/>
      <c r="R66" s="45"/>
      <c r="S66" s="45"/>
      <c r="T66" s="45"/>
      <c r="U66" s="45"/>
      <c r="V66" s="45"/>
      <c r="W66" s="45"/>
      <c r="X66" s="45"/>
      <c r="Y66" s="45"/>
      <c r="Z66" s="45"/>
    </row>
    <row r="67" spans="1:26" ht="14.25">
      <c r="A67" s="96"/>
      <c r="B67" s="97"/>
      <c r="C67" s="97"/>
      <c r="D67" s="97"/>
      <c r="E67" s="97"/>
      <c r="F67" s="96"/>
      <c r="G67" s="98"/>
      <c r="H67" s="99"/>
      <c r="I67" s="96"/>
      <c r="J67" s="100"/>
      <c r="K67" s="96"/>
      <c r="L67" s="96"/>
      <c r="M67" s="100"/>
      <c r="N67" s="96"/>
      <c r="O67" s="96"/>
      <c r="P67" s="10"/>
      <c r="Q67" s="10"/>
    </row>
    <row r="68" spans="1:26" ht="14.25">
      <c r="A68" s="96"/>
      <c r="B68" s="97"/>
      <c r="C68" s="97"/>
      <c r="D68" s="97"/>
      <c r="E68" s="97"/>
      <c r="F68" s="96"/>
      <c r="G68" s="98"/>
      <c r="H68" s="99"/>
      <c r="I68" s="96"/>
      <c r="J68" s="100"/>
      <c r="K68" s="96"/>
      <c r="L68" s="96"/>
      <c r="M68" s="100"/>
      <c r="N68" s="96"/>
      <c r="O68" s="96"/>
      <c r="P68" s="10"/>
      <c r="Q68" s="10"/>
    </row>
    <row r="69" spans="1:26" ht="14.25">
      <c r="A69" s="96"/>
      <c r="B69" s="97"/>
      <c r="C69" s="97"/>
      <c r="D69" s="97"/>
      <c r="E69" s="97"/>
      <c r="F69" s="96"/>
      <c r="G69" s="98"/>
      <c r="H69" s="99"/>
      <c r="I69" s="96"/>
      <c r="J69" s="100"/>
      <c r="K69" s="96"/>
      <c r="L69" s="96"/>
      <c r="M69" s="100"/>
      <c r="N69" s="96"/>
      <c r="O69" s="96"/>
      <c r="P69" s="10"/>
      <c r="Q69" s="10"/>
    </row>
    <row r="70" spans="1:26" ht="14.25">
      <c r="A70" s="93"/>
      <c r="B70" s="93"/>
      <c r="C70" s="93"/>
      <c r="D70" s="93"/>
      <c r="E70" s="93"/>
      <c r="F70" s="93"/>
      <c r="G70" s="93"/>
      <c r="H70" s="93"/>
      <c r="I70" s="93"/>
      <c r="J70" s="93"/>
      <c r="K70" s="93"/>
      <c r="L70" s="93"/>
      <c r="M70" s="93"/>
      <c r="N70" s="93"/>
      <c r="O70" s="93"/>
      <c r="P70" s="10"/>
      <c r="Q70" s="10"/>
      <c r="R70" s="45"/>
      <c r="S70" s="45"/>
      <c r="T70" s="45"/>
      <c r="U70" s="45"/>
      <c r="V70" s="45"/>
      <c r="W70" s="45"/>
      <c r="X70" s="45"/>
      <c r="Y70" s="45"/>
      <c r="Z70" s="45"/>
    </row>
    <row r="71" spans="1:26" ht="14.25">
      <c r="A71" s="96"/>
      <c r="B71" s="97"/>
      <c r="C71" s="97"/>
      <c r="D71" s="97"/>
      <c r="E71" s="97"/>
      <c r="F71" s="96"/>
      <c r="G71" s="98"/>
      <c r="H71" s="99"/>
      <c r="I71" s="96"/>
      <c r="J71" s="100"/>
      <c r="K71" s="96"/>
      <c r="L71" s="96"/>
      <c r="M71" s="100"/>
      <c r="N71" s="96"/>
      <c r="O71" s="96"/>
      <c r="P71" s="10"/>
      <c r="Q71" s="10"/>
    </row>
    <row r="72" spans="1:26" ht="14.25">
      <c r="A72" s="96"/>
      <c r="B72" s="97"/>
      <c r="C72" s="97"/>
      <c r="D72" s="97"/>
      <c r="E72" s="97"/>
      <c r="F72" s="96"/>
      <c r="G72" s="98"/>
      <c r="H72" s="99"/>
      <c r="I72" s="96"/>
      <c r="J72" s="100"/>
      <c r="K72" s="96"/>
      <c r="L72" s="96"/>
      <c r="M72" s="100"/>
      <c r="N72" s="96"/>
      <c r="O72" s="96"/>
      <c r="P72" s="10"/>
      <c r="Q72" s="10"/>
    </row>
    <row r="73" spans="1:26" ht="14.25">
      <c r="A73" s="96"/>
      <c r="B73" s="97"/>
      <c r="C73" s="97"/>
      <c r="D73" s="97"/>
      <c r="E73" s="97"/>
      <c r="F73" s="96"/>
      <c r="G73" s="98"/>
      <c r="H73" s="99"/>
      <c r="I73" s="96"/>
      <c r="J73" s="100"/>
      <c r="K73" s="96"/>
      <c r="L73" s="96"/>
      <c r="M73" s="100"/>
      <c r="N73" s="96"/>
      <c r="O73" s="96"/>
      <c r="P73" s="10"/>
      <c r="Q73" s="10"/>
    </row>
    <row r="74" spans="1:26" ht="14.25">
      <c r="A74" s="93"/>
      <c r="B74" s="93"/>
      <c r="C74" s="93"/>
      <c r="D74" s="93"/>
      <c r="E74" s="93"/>
      <c r="F74" s="93"/>
      <c r="G74" s="93"/>
      <c r="H74" s="93"/>
      <c r="I74" s="93"/>
      <c r="J74" s="93"/>
      <c r="K74" s="93"/>
      <c r="L74" s="93"/>
      <c r="M74" s="93"/>
      <c r="N74" s="93"/>
      <c r="O74" s="93"/>
      <c r="P74" s="10"/>
      <c r="Q74" s="10"/>
      <c r="R74" s="45"/>
      <c r="S74" s="45"/>
      <c r="T74" s="45"/>
      <c r="U74" s="45"/>
      <c r="V74" s="45"/>
      <c r="W74" s="45"/>
      <c r="X74" s="45"/>
      <c r="Y74" s="45"/>
      <c r="Z74" s="45"/>
    </row>
    <row r="75" spans="1:26" ht="14.25">
      <c r="A75" s="96"/>
      <c r="B75" s="97"/>
      <c r="C75" s="97"/>
      <c r="D75" s="97"/>
      <c r="E75" s="97"/>
      <c r="F75" s="96"/>
      <c r="G75" s="98"/>
      <c r="H75" s="99"/>
      <c r="I75" s="96"/>
      <c r="J75" s="100"/>
      <c r="K75" s="96"/>
      <c r="L75" s="96"/>
      <c r="M75" s="100"/>
      <c r="N75" s="96"/>
      <c r="O75" s="96"/>
      <c r="P75" s="10"/>
      <c r="Q75" s="10"/>
    </row>
    <row r="76" spans="1:26" ht="14.25">
      <c r="A76" s="96"/>
      <c r="B76" s="97"/>
      <c r="C76" s="97"/>
      <c r="D76" s="97"/>
      <c r="E76" s="97"/>
      <c r="F76" s="96"/>
      <c r="G76" s="98"/>
      <c r="H76" s="99"/>
      <c r="I76" s="96"/>
      <c r="J76" s="100"/>
      <c r="K76" s="96"/>
      <c r="L76" s="96"/>
      <c r="M76" s="100"/>
      <c r="N76" s="96"/>
      <c r="O76" s="96"/>
      <c r="P76" s="10"/>
      <c r="Q76" s="10"/>
    </row>
    <row r="77" spans="1:26" ht="14.25">
      <c r="A77" s="96"/>
      <c r="B77" s="97"/>
      <c r="C77" s="97"/>
      <c r="D77" s="97"/>
      <c r="E77" s="97"/>
      <c r="F77" s="96"/>
      <c r="G77" s="98"/>
      <c r="H77" s="99"/>
      <c r="I77" s="96"/>
      <c r="J77" s="100"/>
      <c r="K77" s="96"/>
      <c r="L77" s="96"/>
      <c r="M77" s="100"/>
      <c r="N77" s="96"/>
      <c r="O77" s="96"/>
      <c r="P77" s="10"/>
      <c r="Q77" s="10"/>
    </row>
    <row r="78" spans="1:26" ht="14.25">
      <c r="A78" s="93"/>
      <c r="B78" s="93"/>
      <c r="C78" s="93"/>
      <c r="D78" s="93"/>
      <c r="E78" s="93"/>
      <c r="F78" s="93"/>
      <c r="G78" s="93"/>
      <c r="H78" s="93"/>
      <c r="I78" s="93"/>
      <c r="J78" s="93"/>
      <c r="K78" s="93"/>
      <c r="L78" s="93"/>
      <c r="M78" s="93"/>
      <c r="N78" s="93"/>
      <c r="O78" s="93"/>
      <c r="P78" s="10"/>
      <c r="Q78" s="10"/>
      <c r="R78" s="45"/>
      <c r="S78" s="45"/>
      <c r="T78" s="45"/>
      <c r="U78" s="45"/>
      <c r="V78" s="45"/>
      <c r="W78" s="45"/>
      <c r="X78" s="45"/>
      <c r="Y78" s="45"/>
      <c r="Z78" s="45"/>
    </row>
    <row r="79" spans="1:26" ht="14.25">
      <c r="A79" s="96"/>
      <c r="B79" s="97"/>
      <c r="C79" s="97"/>
      <c r="D79" s="97"/>
      <c r="E79" s="97"/>
      <c r="F79" s="96"/>
      <c r="G79" s="98"/>
      <c r="H79" s="99"/>
      <c r="I79" s="96"/>
      <c r="J79" s="100"/>
      <c r="K79" s="96"/>
      <c r="L79" s="96"/>
      <c r="M79" s="100"/>
      <c r="N79" s="96"/>
      <c r="O79" s="96"/>
      <c r="P79" s="10"/>
      <c r="Q79" s="10"/>
    </row>
    <row r="80" spans="1:26" ht="14.25">
      <c r="A80" s="96"/>
      <c r="B80" s="97"/>
      <c r="C80" s="97"/>
      <c r="D80" s="97"/>
      <c r="E80" s="97"/>
      <c r="F80" s="96"/>
      <c r="G80" s="98"/>
      <c r="H80" s="99"/>
      <c r="I80" s="96"/>
      <c r="J80" s="100"/>
      <c r="K80" s="96"/>
      <c r="L80" s="96"/>
      <c r="M80" s="100"/>
      <c r="N80" s="96"/>
      <c r="O80" s="96"/>
      <c r="P80" s="10"/>
      <c r="Q80" s="10"/>
    </row>
    <row r="81" spans="1:26" ht="14.25">
      <c r="A81" s="96"/>
      <c r="B81" s="97"/>
      <c r="C81" s="97"/>
      <c r="D81" s="97"/>
      <c r="E81" s="97"/>
      <c r="F81" s="96"/>
      <c r="G81" s="98"/>
      <c r="H81" s="99"/>
      <c r="I81" s="96"/>
      <c r="J81" s="100"/>
      <c r="K81" s="96"/>
      <c r="L81" s="96"/>
      <c r="M81" s="100"/>
      <c r="N81" s="96"/>
      <c r="O81" s="96"/>
      <c r="P81" s="10"/>
      <c r="Q81" s="10"/>
    </row>
    <row r="82" spans="1:26" ht="14.25">
      <c r="A82" s="93"/>
      <c r="B82" s="93"/>
      <c r="C82" s="93"/>
      <c r="D82" s="93"/>
      <c r="E82" s="93"/>
      <c r="F82" s="93"/>
      <c r="G82" s="93"/>
      <c r="H82" s="93"/>
      <c r="I82" s="93"/>
      <c r="J82" s="100"/>
      <c r="K82" s="93"/>
      <c r="L82" s="93"/>
      <c r="M82" s="93"/>
      <c r="N82" s="93"/>
      <c r="O82" s="93"/>
      <c r="P82" s="10"/>
      <c r="Q82" s="10"/>
      <c r="R82" s="45"/>
      <c r="S82" s="45"/>
      <c r="T82" s="45"/>
      <c r="U82" s="45"/>
      <c r="V82" s="45"/>
      <c r="W82" s="45"/>
      <c r="X82" s="45"/>
      <c r="Y82" s="45"/>
      <c r="Z82" s="45"/>
    </row>
    <row r="83" spans="1:26" ht="14.25">
      <c r="A83" s="96"/>
      <c r="B83" s="97"/>
      <c r="C83" s="97"/>
      <c r="D83" s="97"/>
      <c r="E83" s="97"/>
      <c r="F83" s="96"/>
      <c r="G83" s="98"/>
      <c r="H83" s="99"/>
      <c r="I83" s="96"/>
      <c r="J83" s="100"/>
      <c r="K83" s="96"/>
      <c r="L83" s="96"/>
      <c r="M83" s="100"/>
      <c r="N83" s="96"/>
      <c r="O83" s="96"/>
      <c r="P83" s="10"/>
      <c r="Q83" s="10"/>
    </row>
    <row r="84" spans="1:26" ht="14.25">
      <c r="A84" s="96"/>
      <c r="B84" s="97"/>
      <c r="C84" s="97"/>
      <c r="D84" s="97"/>
      <c r="E84" s="97"/>
      <c r="F84" s="96"/>
      <c r="G84" s="98"/>
      <c r="H84" s="99"/>
      <c r="I84" s="96"/>
      <c r="J84" s="100"/>
      <c r="K84" s="96"/>
      <c r="L84" s="96"/>
      <c r="M84" s="100"/>
      <c r="N84" s="96"/>
      <c r="O84" s="96"/>
      <c r="P84" s="10"/>
      <c r="Q84" s="10"/>
    </row>
    <row r="85" spans="1:26" ht="14.25">
      <c r="A85" s="96"/>
      <c r="B85" s="97"/>
      <c r="C85" s="97"/>
      <c r="D85" s="97"/>
      <c r="E85" s="97"/>
      <c r="F85" s="96"/>
      <c r="G85" s="98"/>
      <c r="H85" s="99"/>
      <c r="I85" s="96"/>
      <c r="J85" s="100"/>
      <c r="K85" s="96"/>
      <c r="L85" s="96"/>
      <c r="M85" s="100"/>
      <c r="N85" s="96"/>
      <c r="O85" s="96"/>
      <c r="P85" s="10"/>
      <c r="Q85" s="10"/>
    </row>
    <row r="86" spans="1:26" ht="14.25">
      <c r="A86" s="93"/>
      <c r="B86" s="93"/>
      <c r="C86" s="93"/>
      <c r="D86" s="93"/>
      <c r="E86" s="93"/>
      <c r="F86" s="93"/>
      <c r="G86" s="93"/>
      <c r="H86" s="93"/>
      <c r="I86" s="93"/>
      <c r="J86" s="93"/>
      <c r="K86" s="93"/>
      <c r="L86" s="93"/>
      <c r="M86" s="93"/>
      <c r="N86" s="93"/>
      <c r="O86" s="93"/>
      <c r="P86" s="10"/>
      <c r="Q86" s="10"/>
      <c r="R86" s="45"/>
      <c r="S86" s="45"/>
      <c r="T86" s="45"/>
      <c r="U86" s="45"/>
      <c r="V86" s="45"/>
      <c r="W86" s="45"/>
      <c r="X86" s="45"/>
      <c r="Y86" s="45"/>
      <c r="Z86" s="45"/>
    </row>
    <row r="87" spans="1:26" ht="14.25">
      <c r="A87" s="96"/>
      <c r="B87" s="97"/>
      <c r="C87" s="97"/>
      <c r="D87" s="97"/>
      <c r="E87" s="97"/>
      <c r="F87" s="96"/>
      <c r="G87" s="98"/>
      <c r="H87" s="99"/>
      <c r="I87" s="96"/>
      <c r="J87" s="100"/>
      <c r="K87" s="96"/>
      <c r="L87" s="96"/>
      <c r="M87" s="100"/>
      <c r="N87" s="96"/>
      <c r="O87" s="96"/>
      <c r="P87" s="10"/>
      <c r="Q87" s="10"/>
    </row>
    <row r="88" spans="1:26" ht="14.25">
      <c r="A88" s="96"/>
      <c r="B88" s="97"/>
      <c r="C88" s="97"/>
      <c r="D88" s="97"/>
      <c r="E88" s="97"/>
      <c r="F88" s="96"/>
      <c r="G88" s="98"/>
      <c r="H88" s="99"/>
      <c r="I88" s="96"/>
      <c r="J88" s="100"/>
      <c r="K88" s="96"/>
      <c r="L88" s="96"/>
      <c r="M88" s="100"/>
      <c r="N88" s="96"/>
      <c r="O88" s="96"/>
      <c r="P88" s="10"/>
      <c r="Q88" s="10"/>
    </row>
    <row r="89" spans="1:26" ht="14.25">
      <c r="A89" s="96"/>
      <c r="B89" s="97"/>
      <c r="C89" s="97"/>
      <c r="D89" s="97"/>
      <c r="E89" s="97"/>
      <c r="F89" s="96"/>
      <c r="G89" s="98"/>
      <c r="H89" s="99"/>
      <c r="I89" s="96"/>
      <c r="J89" s="100"/>
      <c r="K89" s="96"/>
      <c r="L89" s="96"/>
      <c r="M89" s="100"/>
      <c r="N89" s="96"/>
      <c r="O89" s="96"/>
      <c r="P89" s="10"/>
      <c r="Q89" s="10"/>
    </row>
    <row r="90" spans="1:26" ht="14.25">
      <c r="A90" s="93"/>
      <c r="B90" s="93"/>
      <c r="C90" s="93"/>
      <c r="D90" s="93"/>
      <c r="E90" s="93"/>
      <c r="F90" s="93"/>
      <c r="G90" s="93"/>
      <c r="H90" s="93"/>
      <c r="I90" s="93"/>
      <c r="J90" s="93"/>
      <c r="K90" s="93"/>
      <c r="L90" s="93"/>
      <c r="M90" s="102"/>
      <c r="N90" s="93"/>
      <c r="O90" s="93"/>
      <c r="P90" s="10"/>
      <c r="Q90" s="10"/>
      <c r="R90" s="45"/>
      <c r="S90" s="45"/>
      <c r="T90" s="45"/>
      <c r="U90" s="45"/>
      <c r="V90" s="45"/>
      <c r="W90" s="45"/>
      <c r="X90" s="45"/>
      <c r="Y90" s="45"/>
      <c r="Z90" s="45"/>
    </row>
    <row r="91" spans="1:26" ht="14.25">
      <c r="A91" s="96"/>
      <c r="B91" s="97"/>
      <c r="C91" s="97"/>
      <c r="D91" s="97"/>
      <c r="E91" s="97"/>
      <c r="F91" s="96"/>
      <c r="G91" s="98"/>
      <c r="H91" s="99"/>
      <c r="I91" s="96"/>
      <c r="J91" s="100"/>
      <c r="K91" s="96"/>
      <c r="L91" s="99"/>
      <c r="M91" s="103"/>
      <c r="N91" s="99"/>
      <c r="O91" s="96"/>
      <c r="P91" s="10"/>
      <c r="Q91" s="10"/>
    </row>
    <row r="92" spans="1:26" ht="14.25">
      <c r="A92" s="96"/>
      <c r="B92" s="97"/>
      <c r="C92" s="97"/>
      <c r="D92" s="97"/>
      <c r="E92" s="97"/>
      <c r="F92" s="96"/>
      <c r="G92" s="98"/>
      <c r="H92" s="99"/>
      <c r="I92" s="96"/>
      <c r="J92" s="100"/>
      <c r="K92" s="96"/>
      <c r="L92" s="99"/>
      <c r="M92" s="103"/>
      <c r="N92" s="99"/>
      <c r="O92" s="96"/>
      <c r="P92" s="10"/>
      <c r="Q92" s="10"/>
    </row>
    <row r="93" spans="1:26" ht="14.25">
      <c r="A93" s="96"/>
      <c r="B93" s="97"/>
      <c r="C93" s="97"/>
      <c r="D93" s="97"/>
      <c r="E93" s="97"/>
      <c r="F93" s="96"/>
      <c r="G93" s="98"/>
      <c r="H93" s="99"/>
      <c r="I93" s="96"/>
      <c r="J93" s="100"/>
      <c r="K93" s="96"/>
      <c r="L93" s="99"/>
      <c r="M93" s="103"/>
      <c r="N93" s="99"/>
      <c r="O93" s="96"/>
      <c r="P93" s="10"/>
      <c r="Q93" s="10"/>
    </row>
    <row r="94" spans="1:26" ht="14.25">
      <c r="A94" s="93"/>
      <c r="B94" s="93"/>
      <c r="C94" s="93"/>
      <c r="D94" s="93"/>
      <c r="E94" s="93"/>
      <c r="F94" s="93"/>
      <c r="G94" s="93"/>
      <c r="H94" s="93"/>
      <c r="I94" s="93"/>
      <c r="J94" s="93"/>
      <c r="K94" s="93"/>
      <c r="L94" s="93"/>
      <c r="M94" s="93"/>
      <c r="N94" s="93"/>
      <c r="O94" s="93"/>
      <c r="P94" s="10"/>
      <c r="Q94" s="10"/>
      <c r="R94" s="45"/>
      <c r="S94" s="45"/>
      <c r="T94" s="45"/>
      <c r="U94" s="45"/>
      <c r="V94" s="45"/>
      <c r="W94" s="45"/>
      <c r="X94" s="45"/>
      <c r="Y94" s="45"/>
      <c r="Z94" s="45"/>
    </row>
    <row r="95" spans="1:26" ht="14.25">
      <c r="A95" s="96"/>
      <c r="B95" s="97"/>
      <c r="C95" s="97"/>
      <c r="D95" s="97"/>
      <c r="E95" s="97"/>
      <c r="F95" s="96"/>
      <c r="G95" s="98"/>
      <c r="H95" s="99"/>
      <c r="I95" s="96"/>
      <c r="J95" s="100"/>
      <c r="K95" s="96"/>
      <c r="L95" s="99"/>
      <c r="M95" s="103"/>
      <c r="N95" s="99"/>
      <c r="O95" s="96"/>
      <c r="P95" s="10"/>
      <c r="Q95" s="10"/>
    </row>
    <row r="96" spans="1:26" ht="14.25">
      <c r="A96" s="96"/>
      <c r="B96" s="97"/>
      <c r="C96" s="97"/>
      <c r="D96" s="97"/>
      <c r="E96" s="97"/>
      <c r="F96" s="96"/>
      <c r="G96" s="98"/>
      <c r="H96" s="99"/>
      <c r="I96" s="96"/>
      <c r="J96" s="100"/>
      <c r="K96" s="96"/>
      <c r="L96" s="99"/>
      <c r="M96" s="103"/>
      <c r="N96" s="99"/>
      <c r="O96" s="96"/>
      <c r="P96" s="10"/>
      <c r="Q96" s="10"/>
    </row>
    <row r="97" spans="1:26" ht="14.25">
      <c r="A97" s="96"/>
      <c r="B97" s="97"/>
      <c r="C97" s="97"/>
      <c r="D97" s="97"/>
      <c r="E97" s="97"/>
      <c r="F97" s="96"/>
      <c r="G97" s="98"/>
      <c r="H97" s="99"/>
      <c r="I97" s="96"/>
      <c r="J97" s="100"/>
      <c r="K97" s="96"/>
      <c r="L97" s="99"/>
      <c r="M97" s="103"/>
      <c r="N97" s="99"/>
      <c r="O97" s="96"/>
      <c r="P97" s="10"/>
      <c r="Q97" s="10"/>
    </row>
    <row r="98" spans="1:26" ht="14.25">
      <c r="A98" s="93"/>
      <c r="B98" s="93"/>
      <c r="C98" s="93"/>
      <c r="D98" s="93"/>
      <c r="E98" s="93"/>
      <c r="F98" s="93"/>
      <c r="G98" s="93"/>
      <c r="H98" s="93"/>
      <c r="I98" s="93"/>
      <c r="J98" s="93"/>
      <c r="K98" s="93"/>
      <c r="L98" s="93"/>
      <c r="M98" s="93"/>
      <c r="N98" s="93"/>
      <c r="O98" s="93"/>
      <c r="P98" s="10"/>
      <c r="Q98" s="10"/>
      <c r="R98" s="45"/>
      <c r="S98" s="45"/>
      <c r="T98" s="45"/>
      <c r="U98" s="45"/>
      <c r="V98" s="45"/>
      <c r="W98" s="45"/>
      <c r="X98" s="45"/>
      <c r="Y98" s="45"/>
      <c r="Z98" s="45"/>
    </row>
    <row r="99" spans="1:26" ht="14.25">
      <c r="A99" s="96"/>
      <c r="B99" s="97"/>
      <c r="C99" s="97"/>
      <c r="D99" s="97"/>
      <c r="E99" s="97"/>
      <c r="F99" s="96"/>
      <c r="G99" s="98"/>
      <c r="H99" s="99"/>
      <c r="I99" s="96"/>
      <c r="J99" s="100"/>
      <c r="K99" s="96"/>
      <c r="L99" s="99"/>
      <c r="M99" s="103"/>
      <c r="N99" s="99"/>
      <c r="O99" s="96"/>
      <c r="Q99" s="10"/>
    </row>
    <row r="100" spans="1:26" ht="14.25">
      <c r="A100" s="96"/>
      <c r="B100" s="97"/>
      <c r="C100" s="97"/>
      <c r="D100" s="97"/>
      <c r="E100" s="97"/>
      <c r="F100" s="96"/>
      <c r="G100" s="98"/>
      <c r="H100" s="99"/>
      <c r="I100" s="96"/>
      <c r="J100" s="100"/>
      <c r="K100" s="96"/>
      <c r="L100" s="99"/>
      <c r="M100" s="103"/>
      <c r="N100" s="99"/>
      <c r="O100" s="96"/>
      <c r="Q100" s="10"/>
    </row>
    <row r="101" spans="1:26" ht="14.25">
      <c r="A101" s="96"/>
      <c r="B101" s="97"/>
      <c r="C101" s="97"/>
      <c r="D101" s="97"/>
      <c r="E101" s="97"/>
      <c r="F101" s="96"/>
      <c r="G101" s="98"/>
      <c r="H101" s="99"/>
      <c r="I101" s="96"/>
      <c r="J101" s="100"/>
      <c r="K101" s="96"/>
      <c r="L101" s="99"/>
      <c r="M101" s="103"/>
      <c r="N101" s="99"/>
      <c r="O101" s="96"/>
      <c r="Q101" s="10"/>
    </row>
    <row r="102" spans="1:26" ht="14.25">
      <c r="A102" s="93"/>
      <c r="B102" s="93"/>
      <c r="C102" s="93"/>
      <c r="D102" s="93"/>
      <c r="E102" s="93"/>
      <c r="F102" s="93"/>
      <c r="G102" s="93"/>
      <c r="H102" s="93"/>
      <c r="I102" s="93"/>
      <c r="J102" s="93"/>
      <c r="K102" s="93"/>
      <c r="L102" s="93"/>
      <c r="M102" s="93"/>
      <c r="N102" s="93"/>
      <c r="O102" s="93"/>
      <c r="P102" s="45"/>
      <c r="Q102" s="10"/>
      <c r="R102" s="45"/>
      <c r="S102" s="45"/>
      <c r="T102" s="45"/>
      <c r="U102" s="45"/>
      <c r="V102" s="45"/>
      <c r="W102" s="45"/>
      <c r="X102" s="45"/>
      <c r="Y102" s="45"/>
      <c r="Z102" s="45"/>
    </row>
    <row r="103" spans="1:26" ht="14.25">
      <c r="A103" s="96"/>
      <c r="B103" s="97"/>
      <c r="C103" s="97"/>
      <c r="D103" s="97"/>
      <c r="E103" s="97"/>
      <c r="F103" s="96"/>
      <c r="G103" s="98"/>
      <c r="H103" s="99"/>
      <c r="I103" s="96"/>
      <c r="J103" s="100"/>
      <c r="K103" s="96"/>
      <c r="L103" s="99"/>
      <c r="M103" s="103"/>
      <c r="N103" s="99"/>
      <c r="O103" s="96"/>
      <c r="Q103" s="10"/>
    </row>
    <row r="104" spans="1:26" ht="14.25">
      <c r="A104" s="96"/>
      <c r="B104" s="97"/>
      <c r="C104" s="97"/>
      <c r="D104" s="97"/>
      <c r="E104" s="97"/>
      <c r="F104" s="96"/>
      <c r="G104" s="98"/>
      <c r="H104" s="99"/>
      <c r="I104" s="96"/>
      <c r="J104" s="100"/>
      <c r="K104" s="96"/>
      <c r="L104" s="99"/>
      <c r="M104" s="103"/>
      <c r="N104" s="99"/>
      <c r="O104" s="96"/>
      <c r="Q104" s="10"/>
    </row>
    <row r="105" spans="1:26" ht="14.25">
      <c r="A105" s="96"/>
      <c r="B105" s="97"/>
      <c r="C105" s="97"/>
      <c r="D105" s="97"/>
      <c r="E105" s="97"/>
      <c r="F105" s="96"/>
      <c r="G105" s="98"/>
      <c r="H105" s="99"/>
      <c r="I105" s="96"/>
      <c r="J105" s="100"/>
      <c r="K105" s="96"/>
      <c r="L105" s="99"/>
      <c r="M105" s="103"/>
      <c r="N105" s="99"/>
      <c r="O105" s="96"/>
      <c r="Q105" s="10"/>
    </row>
  </sheetData>
  <mergeCells count="18">
    <mergeCell ref="K12:K14"/>
    <mergeCell ref="L12:L14"/>
    <mergeCell ref="M12:M14"/>
    <mergeCell ref="N12:N14"/>
    <mergeCell ref="O12:O14"/>
    <mergeCell ref="F12:F14"/>
    <mergeCell ref="G12:G14"/>
    <mergeCell ref="H12:H14"/>
    <mergeCell ref="I12:I14"/>
    <mergeCell ref="J12:J14"/>
    <mergeCell ref="B2:E2"/>
    <mergeCell ref="B3:E3"/>
    <mergeCell ref="B4:E4"/>
    <mergeCell ref="A12:A14"/>
    <mergeCell ref="B12:B14"/>
    <mergeCell ref="D12:D14"/>
    <mergeCell ref="E12:E14"/>
    <mergeCell ref="C12:C1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B129"/>
  <sheetViews>
    <sheetView topLeftCell="A15" zoomScale="70" zoomScaleNormal="70" workbookViewId="0">
      <selection activeCell="R26" sqref="R26"/>
    </sheetView>
  </sheetViews>
  <sheetFormatPr defaultColWidth="12.5703125" defaultRowHeight="15.75" customHeight="1"/>
  <cols>
    <col min="2" max="2" width="16.42578125" customWidth="1"/>
    <col min="3" max="3" width="21.28515625" customWidth="1"/>
    <col min="4" max="4" width="16.85546875" customWidth="1"/>
    <col min="5" max="6" width="14.28515625" customWidth="1"/>
    <col min="15" max="15" width="12.42578125" customWidth="1"/>
    <col min="16" max="16" width="12.5703125" hidden="1" customWidth="1"/>
  </cols>
  <sheetData>
    <row r="1" spans="1:28" ht="14.25">
      <c r="A1" s="46"/>
      <c r="B1" s="46"/>
      <c r="C1" s="46"/>
      <c r="D1" s="46"/>
      <c r="E1" s="46"/>
      <c r="F1" s="46"/>
      <c r="G1" s="10"/>
      <c r="H1" s="10"/>
      <c r="I1" s="10"/>
      <c r="J1" s="10"/>
      <c r="K1" s="10"/>
      <c r="L1" s="10"/>
      <c r="M1" s="10"/>
      <c r="N1" s="10"/>
      <c r="O1" s="10"/>
      <c r="P1" s="10"/>
    </row>
    <row r="2" spans="1:28" ht="14.25">
      <c r="A2" s="33" t="s">
        <v>46</v>
      </c>
      <c r="B2" s="182" t="s">
        <v>370</v>
      </c>
      <c r="C2" s="183"/>
      <c r="D2" s="183"/>
      <c r="E2" s="184"/>
      <c r="F2" s="13"/>
      <c r="G2" s="13"/>
      <c r="H2" s="10"/>
      <c r="I2" s="10"/>
      <c r="J2" s="10"/>
      <c r="K2" s="10"/>
      <c r="L2" s="10"/>
      <c r="M2" s="10"/>
      <c r="N2" s="10"/>
      <c r="O2" s="10"/>
      <c r="P2" s="10"/>
    </row>
    <row r="3" spans="1:28" ht="25.5">
      <c r="A3" s="34" t="s">
        <v>47</v>
      </c>
      <c r="B3" s="185" t="s">
        <v>468</v>
      </c>
      <c r="C3" s="164"/>
      <c r="D3" s="164"/>
      <c r="E3" s="186"/>
      <c r="F3" s="13"/>
      <c r="G3" s="13"/>
      <c r="H3" s="10"/>
      <c r="I3" s="10"/>
      <c r="J3" s="10"/>
      <c r="K3" s="10"/>
      <c r="L3" s="10"/>
      <c r="M3" s="10"/>
      <c r="N3" s="10"/>
      <c r="O3" s="10"/>
      <c r="P3" s="10"/>
    </row>
    <row r="4" spans="1:28" ht="25.5">
      <c r="A4" s="34" t="s">
        <v>48</v>
      </c>
      <c r="B4" s="187">
        <v>20</v>
      </c>
      <c r="C4" s="164"/>
      <c r="D4" s="164"/>
      <c r="E4" s="186"/>
      <c r="F4" s="13"/>
      <c r="G4" s="13"/>
      <c r="H4" s="10"/>
      <c r="I4" s="10"/>
      <c r="J4" s="10"/>
      <c r="K4" s="10"/>
      <c r="L4" s="10"/>
      <c r="M4" s="10"/>
      <c r="N4" s="10"/>
      <c r="O4" s="10"/>
      <c r="P4" s="10"/>
    </row>
    <row r="5" spans="1:28" ht="25.5">
      <c r="A5" s="35" t="s">
        <v>49</v>
      </c>
      <c r="B5" s="36" t="s">
        <v>36</v>
      </c>
      <c r="C5" s="36" t="s">
        <v>37</v>
      </c>
      <c r="D5" s="36" t="s">
        <v>38</v>
      </c>
      <c r="E5" s="37" t="s">
        <v>39</v>
      </c>
      <c r="F5" s="10"/>
      <c r="G5" s="13"/>
      <c r="H5" s="10"/>
      <c r="I5" s="10"/>
      <c r="J5" s="10"/>
      <c r="K5" s="10"/>
      <c r="L5" s="10"/>
      <c r="M5" s="10"/>
      <c r="N5" s="10"/>
      <c r="O5" s="10"/>
      <c r="P5" s="10"/>
    </row>
    <row r="6" spans="1:28" ht="14.25">
      <c r="A6" s="35" t="s">
        <v>50</v>
      </c>
      <c r="B6" s="38">
        <v>20</v>
      </c>
      <c r="C6" s="38">
        <f>COUNTIF(F:F, C5)</f>
        <v>0</v>
      </c>
      <c r="D6" s="38">
        <f>COUNTIF(F:F, D5)</f>
        <v>0</v>
      </c>
      <c r="E6" s="39">
        <v>0</v>
      </c>
      <c r="F6" s="10"/>
      <c r="G6" s="13"/>
      <c r="H6" s="10"/>
      <c r="I6" s="10"/>
      <c r="J6" s="10"/>
      <c r="K6" s="10"/>
      <c r="L6" s="10"/>
      <c r="M6" s="10"/>
      <c r="N6" s="10"/>
      <c r="O6" s="10"/>
      <c r="P6" s="10"/>
    </row>
    <row r="7" spans="1:28" ht="14.25">
      <c r="A7" s="35" t="s">
        <v>51</v>
      </c>
      <c r="B7" s="38">
        <v>20</v>
      </c>
      <c r="C7" s="38">
        <f>COUNTIF(I:I, C5)</f>
        <v>0</v>
      </c>
      <c r="D7" s="38">
        <f>COUNTIF(I:I, D5)</f>
        <v>0</v>
      </c>
      <c r="E7" s="39">
        <v>0</v>
      </c>
      <c r="F7" s="10"/>
      <c r="G7" s="13"/>
      <c r="H7" s="10"/>
      <c r="I7" s="10"/>
      <c r="J7" s="10"/>
      <c r="K7" s="10"/>
      <c r="L7" s="10"/>
      <c r="M7" s="10"/>
      <c r="N7" s="10"/>
      <c r="O7" s="10"/>
      <c r="P7" s="10"/>
    </row>
    <row r="8" spans="1:28" ht="14.25">
      <c r="A8" s="40" t="s">
        <v>52</v>
      </c>
      <c r="B8" s="41">
        <v>20</v>
      </c>
      <c r="C8" s="38">
        <f>COUNTIF(L:L, C5)</f>
        <v>0</v>
      </c>
      <c r="D8" s="38">
        <f>COUNTIF(L:L, D5)</f>
        <v>0</v>
      </c>
      <c r="E8" s="39">
        <v>0</v>
      </c>
      <c r="F8" s="10"/>
      <c r="G8" s="13"/>
      <c r="H8" s="10"/>
      <c r="I8" s="10"/>
      <c r="J8" s="10"/>
      <c r="K8" s="10"/>
      <c r="L8" s="10"/>
      <c r="M8" s="10"/>
      <c r="N8" s="10"/>
      <c r="O8" s="10"/>
      <c r="P8" s="10"/>
    </row>
    <row r="9" spans="1:28" ht="14.25">
      <c r="A9" s="15"/>
      <c r="B9" s="15"/>
      <c r="C9" s="15"/>
      <c r="D9" s="15"/>
      <c r="E9" s="15"/>
      <c r="F9" s="15"/>
      <c r="G9" s="10"/>
      <c r="H9" s="10"/>
      <c r="I9" s="10"/>
      <c r="J9" s="10"/>
      <c r="K9" s="10"/>
      <c r="L9" s="10"/>
      <c r="M9" s="10"/>
      <c r="N9" s="10"/>
      <c r="O9" s="10"/>
      <c r="P9" s="10"/>
    </row>
    <row r="10" spans="1:28" ht="25.5">
      <c r="A10" s="104" t="s">
        <v>53</v>
      </c>
      <c r="B10" s="104" t="s">
        <v>54</v>
      </c>
      <c r="C10" s="104" t="s">
        <v>55</v>
      </c>
      <c r="D10" s="104" t="s">
        <v>56</v>
      </c>
      <c r="E10" s="104" t="s">
        <v>57</v>
      </c>
      <c r="F10" s="104" t="s">
        <v>50</v>
      </c>
      <c r="G10" s="105" t="s">
        <v>58</v>
      </c>
      <c r="H10" s="104" t="s">
        <v>59</v>
      </c>
      <c r="I10" s="104" t="s">
        <v>51</v>
      </c>
      <c r="J10" s="104" t="s">
        <v>58</v>
      </c>
      <c r="K10" s="104" t="s">
        <v>59</v>
      </c>
      <c r="L10" s="104" t="s">
        <v>52</v>
      </c>
      <c r="M10" s="104" t="s">
        <v>58</v>
      </c>
      <c r="N10" s="104" t="s">
        <v>59</v>
      </c>
      <c r="O10" s="104" t="s">
        <v>60</v>
      </c>
      <c r="P10" s="106"/>
      <c r="Q10" s="47"/>
      <c r="R10" s="47"/>
      <c r="S10" s="47"/>
      <c r="T10" s="47"/>
      <c r="U10" s="47"/>
      <c r="V10" s="47"/>
      <c r="W10" s="47"/>
      <c r="X10" s="47"/>
      <c r="Y10" s="47"/>
      <c r="Z10" s="47"/>
      <c r="AA10" s="47"/>
      <c r="AB10" s="47"/>
    </row>
    <row r="11" spans="1:28" ht="14.25">
      <c r="A11" s="191" t="s">
        <v>469</v>
      </c>
      <c r="B11" s="161"/>
      <c r="C11" s="161"/>
      <c r="D11" s="161"/>
      <c r="E11" s="161"/>
      <c r="F11" s="161"/>
      <c r="G11" s="161"/>
      <c r="H11" s="161"/>
      <c r="I11" s="161"/>
      <c r="J11" s="161"/>
      <c r="K11" s="161"/>
      <c r="L11" s="161"/>
      <c r="M11" s="161"/>
      <c r="N11" s="161"/>
      <c r="O11" s="161"/>
      <c r="P11" s="108"/>
    </row>
    <row r="12" spans="1:28" ht="71.25">
      <c r="A12" s="80" t="s">
        <v>74</v>
      </c>
      <c r="B12" s="80" t="s">
        <v>470</v>
      </c>
      <c r="C12" s="80" t="s">
        <v>471</v>
      </c>
      <c r="D12" s="80" t="s">
        <v>472</v>
      </c>
      <c r="E12" s="80" t="s">
        <v>473</v>
      </c>
      <c r="F12" s="80" t="s">
        <v>36</v>
      </c>
      <c r="G12" s="89">
        <v>46165</v>
      </c>
      <c r="H12" s="80" t="s">
        <v>377</v>
      </c>
      <c r="I12" s="80" t="s">
        <v>36</v>
      </c>
      <c r="J12" s="89">
        <v>46175</v>
      </c>
      <c r="K12" s="80" t="s">
        <v>377</v>
      </c>
      <c r="L12" s="80" t="s">
        <v>36</v>
      </c>
      <c r="M12" s="89">
        <v>46185</v>
      </c>
      <c r="N12" s="80" t="s">
        <v>377</v>
      </c>
      <c r="O12" s="80" t="s">
        <v>474</v>
      </c>
      <c r="P12" s="109"/>
    </row>
    <row r="13" spans="1:28" ht="71.25">
      <c r="A13" s="80" t="s">
        <v>74</v>
      </c>
      <c r="B13" s="80" t="s">
        <v>470</v>
      </c>
      <c r="C13" s="80" t="s">
        <v>471</v>
      </c>
      <c r="D13" s="80" t="s">
        <v>472</v>
      </c>
      <c r="E13" s="80" t="s">
        <v>473</v>
      </c>
      <c r="F13" s="80" t="s">
        <v>36</v>
      </c>
      <c r="G13" s="89">
        <v>46165</v>
      </c>
      <c r="H13" s="80" t="s">
        <v>377</v>
      </c>
      <c r="I13" s="80" t="s">
        <v>36</v>
      </c>
      <c r="J13" s="89">
        <v>46175</v>
      </c>
      <c r="K13" s="80" t="s">
        <v>377</v>
      </c>
      <c r="L13" s="80" t="s">
        <v>36</v>
      </c>
      <c r="M13" s="89">
        <v>46185</v>
      </c>
      <c r="N13" s="80" t="s">
        <v>377</v>
      </c>
      <c r="O13" s="80" t="s">
        <v>474</v>
      </c>
      <c r="P13" s="108"/>
    </row>
    <row r="14" spans="1:28" ht="71.25">
      <c r="A14" s="80" t="s">
        <v>75</v>
      </c>
      <c r="B14" s="80" t="s">
        <v>475</v>
      </c>
      <c r="C14" s="80" t="s">
        <v>440</v>
      </c>
      <c r="D14" s="80" t="s">
        <v>476</v>
      </c>
      <c r="E14" s="80" t="s">
        <v>64</v>
      </c>
      <c r="F14" s="80" t="s">
        <v>36</v>
      </c>
      <c r="G14" s="89">
        <v>46165</v>
      </c>
      <c r="H14" s="80" t="s">
        <v>377</v>
      </c>
      <c r="I14" s="80" t="s">
        <v>36</v>
      </c>
      <c r="J14" s="89">
        <v>46175</v>
      </c>
      <c r="K14" s="80" t="s">
        <v>377</v>
      </c>
      <c r="L14" s="80" t="s">
        <v>36</v>
      </c>
      <c r="M14" s="89">
        <v>46185</v>
      </c>
      <c r="N14" s="80" t="s">
        <v>377</v>
      </c>
      <c r="O14" s="80" t="s">
        <v>477</v>
      </c>
      <c r="P14" s="108"/>
    </row>
    <row r="15" spans="1:28" ht="71.25">
      <c r="A15" s="80" t="s">
        <v>478</v>
      </c>
      <c r="B15" s="80" t="s">
        <v>479</v>
      </c>
      <c r="C15" s="80" t="s">
        <v>480</v>
      </c>
      <c r="D15" s="80" t="s">
        <v>481</v>
      </c>
      <c r="E15" s="80" t="s">
        <v>482</v>
      </c>
      <c r="F15" s="80" t="s">
        <v>36</v>
      </c>
      <c r="G15" s="89">
        <v>46165</v>
      </c>
      <c r="H15" s="80" t="s">
        <v>377</v>
      </c>
      <c r="I15" s="80" t="s">
        <v>36</v>
      </c>
      <c r="J15" s="89">
        <v>46175</v>
      </c>
      <c r="K15" s="80" t="s">
        <v>377</v>
      </c>
      <c r="L15" s="80" t="s">
        <v>36</v>
      </c>
      <c r="M15" s="89">
        <v>46185</v>
      </c>
      <c r="N15" s="80" t="s">
        <v>377</v>
      </c>
      <c r="O15" s="80" t="s">
        <v>483</v>
      </c>
      <c r="P15" s="108"/>
    </row>
    <row r="16" spans="1:28" ht="12.75">
      <c r="A16" s="107" t="s">
        <v>489</v>
      </c>
      <c r="B16" s="191" t="s">
        <v>490</v>
      </c>
      <c r="C16" s="161"/>
      <c r="D16" s="161"/>
      <c r="E16" s="161"/>
      <c r="F16" s="161"/>
      <c r="G16" s="161"/>
      <c r="H16" s="161"/>
      <c r="I16" s="161"/>
      <c r="J16" s="161"/>
      <c r="K16" s="161"/>
      <c r="L16" s="161"/>
      <c r="M16" s="161"/>
      <c r="N16" s="161"/>
      <c r="O16" s="161"/>
      <c r="P16" s="161"/>
    </row>
    <row r="17" spans="1:19" ht="88.5" customHeight="1">
      <c r="A17" s="80" t="s">
        <v>76</v>
      </c>
      <c r="B17" s="80" t="s">
        <v>484</v>
      </c>
      <c r="C17" s="80" t="s">
        <v>485</v>
      </c>
      <c r="D17" s="80" t="s">
        <v>486</v>
      </c>
      <c r="E17" s="80" t="s">
        <v>487</v>
      </c>
      <c r="F17" s="80" t="s">
        <v>36</v>
      </c>
      <c r="G17" s="89">
        <v>46165</v>
      </c>
      <c r="H17" s="80" t="s">
        <v>377</v>
      </c>
      <c r="I17" s="80" t="s">
        <v>36</v>
      </c>
      <c r="J17" s="89">
        <v>46175</v>
      </c>
      <c r="K17" s="80" t="s">
        <v>377</v>
      </c>
      <c r="L17" s="80" t="s">
        <v>36</v>
      </c>
      <c r="M17" s="89">
        <v>46185</v>
      </c>
      <c r="N17" s="80" t="s">
        <v>377</v>
      </c>
      <c r="O17" s="80" t="s">
        <v>488</v>
      </c>
      <c r="P17" s="108"/>
    </row>
    <row r="18" spans="1:19" ht="85.5">
      <c r="A18" s="80" t="s">
        <v>77</v>
      </c>
      <c r="B18" s="80" t="s">
        <v>491</v>
      </c>
      <c r="C18" s="80" t="s">
        <v>492</v>
      </c>
      <c r="D18" s="80" t="s">
        <v>493</v>
      </c>
      <c r="E18" s="80" t="s">
        <v>494</v>
      </c>
      <c r="F18" s="80" t="s">
        <v>36</v>
      </c>
      <c r="G18" s="89">
        <v>46165</v>
      </c>
      <c r="H18" s="80" t="s">
        <v>377</v>
      </c>
      <c r="I18" s="80" t="s">
        <v>36</v>
      </c>
      <c r="J18" s="89">
        <v>46175</v>
      </c>
      <c r="K18" s="80" t="s">
        <v>377</v>
      </c>
      <c r="L18" s="80" t="s">
        <v>36</v>
      </c>
      <c r="M18" s="89">
        <v>46185</v>
      </c>
      <c r="N18" s="80" t="s">
        <v>377</v>
      </c>
      <c r="O18" s="80" t="s">
        <v>495</v>
      </c>
      <c r="P18" s="68"/>
    </row>
    <row r="19" spans="1:19" ht="71.25">
      <c r="A19" s="80" t="s">
        <v>78</v>
      </c>
      <c r="B19" s="80" t="s">
        <v>496</v>
      </c>
      <c r="C19" s="80" t="s">
        <v>497</v>
      </c>
      <c r="D19" s="80" t="s">
        <v>498</v>
      </c>
      <c r="E19" s="80" t="s">
        <v>499</v>
      </c>
      <c r="F19" s="80" t="s">
        <v>36</v>
      </c>
      <c r="G19" s="89">
        <v>46165</v>
      </c>
      <c r="H19" s="80" t="s">
        <v>377</v>
      </c>
      <c r="I19" s="80" t="s">
        <v>36</v>
      </c>
      <c r="J19" s="89">
        <v>46175</v>
      </c>
      <c r="K19" s="80" t="s">
        <v>377</v>
      </c>
      <c r="L19" s="80" t="s">
        <v>36</v>
      </c>
      <c r="M19" s="89">
        <v>46185</v>
      </c>
      <c r="N19" s="80" t="s">
        <v>377</v>
      </c>
      <c r="O19" s="80" t="s">
        <v>500</v>
      </c>
      <c r="P19" s="68"/>
    </row>
    <row r="20" spans="1:19" ht="12.75">
      <c r="A20" s="107" t="s">
        <v>501</v>
      </c>
      <c r="B20" s="191" t="s">
        <v>502</v>
      </c>
      <c r="C20" s="161"/>
      <c r="D20" s="161"/>
      <c r="E20" s="161"/>
      <c r="F20" s="161"/>
      <c r="G20" s="161"/>
      <c r="H20" s="161"/>
      <c r="I20" s="161"/>
      <c r="J20" s="161"/>
      <c r="K20" s="161"/>
      <c r="L20" s="161"/>
      <c r="M20" s="161"/>
      <c r="N20" s="161"/>
      <c r="O20" s="161"/>
      <c r="P20" s="161"/>
    </row>
    <row r="21" spans="1:19" ht="78.75" customHeight="1">
      <c r="A21" s="80" t="s">
        <v>79</v>
      </c>
      <c r="B21" s="80" t="s">
        <v>503</v>
      </c>
      <c r="C21" s="80" t="s">
        <v>504</v>
      </c>
      <c r="D21" s="80" t="s">
        <v>505</v>
      </c>
      <c r="E21" s="80" t="s">
        <v>446</v>
      </c>
      <c r="F21" s="80" t="s">
        <v>36</v>
      </c>
      <c r="G21" s="89">
        <v>46165</v>
      </c>
      <c r="H21" s="80" t="s">
        <v>377</v>
      </c>
      <c r="I21" s="80" t="s">
        <v>36</v>
      </c>
      <c r="J21" s="89">
        <v>46175</v>
      </c>
      <c r="K21" s="80" t="s">
        <v>377</v>
      </c>
      <c r="L21" s="80" t="s">
        <v>36</v>
      </c>
      <c r="M21" s="89">
        <v>46185</v>
      </c>
      <c r="N21" s="80" t="s">
        <v>377</v>
      </c>
      <c r="O21" s="80" t="s">
        <v>506</v>
      </c>
      <c r="P21" s="68"/>
    </row>
    <row r="22" spans="1:19" ht="85.5">
      <c r="A22" s="80" t="s">
        <v>80</v>
      </c>
      <c r="B22" s="80" t="s">
        <v>507</v>
      </c>
      <c r="C22" s="80" t="s">
        <v>508</v>
      </c>
      <c r="D22" s="80" t="s">
        <v>509</v>
      </c>
      <c r="E22" s="80" t="s">
        <v>446</v>
      </c>
      <c r="F22" s="80" t="s">
        <v>36</v>
      </c>
      <c r="G22" s="89">
        <v>46165</v>
      </c>
      <c r="H22" s="80" t="s">
        <v>377</v>
      </c>
      <c r="I22" s="80" t="s">
        <v>36</v>
      </c>
      <c r="J22" s="89">
        <v>46175</v>
      </c>
      <c r="K22" s="80" t="s">
        <v>377</v>
      </c>
      <c r="L22" s="80" t="s">
        <v>36</v>
      </c>
      <c r="M22" s="89">
        <v>46185</v>
      </c>
      <c r="N22" s="80" t="s">
        <v>377</v>
      </c>
      <c r="O22" s="80" t="s">
        <v>510</v>
      </c>
      <c r="P22" s="68"/>
    </row>
    <row r="23" spans="1:19" ht="71.25">
      <c r="A23" s="80" t="s">
        <v>81</v>
      </c>
      <c r="B23" s="80" t="s">
        <v>511</v>
      </c>
      <c r="C23" s="80" t="s">
        <v>512</v>
      </c>
      <c r="D23" s="80" t="s">
        <v>513</v>
      </c>
      <c r="E23" s="80" t="s">
        <v>499</v>
      </c>
      <c r="F23" s="80" t="s">
        <v>36</v>
      </c>
      <c r="G23" s="89">
        <v>46165</v>
      </c>
      <c r="H23" s="80" t="s">
        <v>377</v>
      </c>
      <c r="I23" s="80" t="s">
        <v>36</v>
      </c>
      <c r="J23" s="89">
        <v>46175</v>
      </c>
      <c r="K23" s="80" t="s">
        <v>377</v>
      </c>
      <c r="L23" s="80" t="s">
        <v>36</v>
      </c>
      <c r="M23" s="89">
        <v>46185</v>
      </c>
      <c r="N23" s="80" t="s">
        <v>377</v>
      </c>
      <c r="O23" s="80" t="s">
        <v>514</v>
      </c>
      <c r="P23" s="68"/>
    </row>
    <row r="24" spans="1:19" ht="12.75">
      <c r="A24" s="107" t="s">
        <v>516</v>
      </c>
      <c r="B24" s="191" t="s">
        <v>515</v>
      </c>
      <c r="C24" s="161"/>
      <c r="D24" s="161"/>
      <c r="E24" s="161"/>
      <c r="F24" s="161"/>
      <c r="G24" s="161"/>
      <c r="H24" s="161"/>
      <c r="I24" s="161"/>
      <c r="J24" s="161"/>
      <c r="K24" s="161"/>
      <c r="L24" s="161"/>
      <c r="M24" s="161"/>
      <c r="N24" s="161"/>
      <c r="O24" s="161"/>
      <c r="P24" s="161"/>
    </row>
    <row r="25" spans="1:19" ht="80.25" customHeight="1">
      <c r="A25" s="80" t="s">
        <v>82</v>
      </c>
      <c r="B25" s="80" t="s">
        <v>517</v>
      </c>
      <c r="C25" s="80" t="s">
        <v>518</v>
      </c>
      <c r="D25" s="80" t="s">
        <v>519</v>
      </c>
      <c r="E25" s="80" t="s">
        <v>520</v>
      </c>
      <c r="F25" s="80" t="s">
        <v>36</v>
      </c>
      <c r="G25" s="89">
        <v>46165</v>
      </c>
      <c r="H25" s="80" t="s">
        <v>377</v>
      </c>
      <c r="I25" s="80" t="s">
        <v>36</v>
      </c>
      <c r="J25" s="89">
        <v>46175</v>
      </c>
      <c r="K25" s="80" t="s">
        <v>377</v>
      </c>
      <c r="L25" s="80" t="s">
        <v>36</v>
      </c>
      <c r="M25" s="89">
        <v>46185</v>
      </c>
      <c r="N25" s="80" t="s">
        <v>377</v>
      </c>
      <c r="O25" s="80" t="s">
        <v>521</v>
      </c>
      <c r="P25" s="68"/>
    </row>
    <row r="26" spans="1:19" ht="57">
      <c r="A26" s="80" t="s">
        <v>83</v>
      </c>
      <c r="B26" s="80" t="s">
        <v>522</v>
      </c>
      <c r="C26" s="80" t="s">
        <v>523</v>
      </c>
      <c r="D26" s="80" t="s">
        <v>524</v>
      </c>
      <c r="E26" s="80" t="s">
        <v>525</v>
      </c>
      <c r="F26" s="80" t="s">
        <v>36</v>
      </c>
      <c r="G26" s="89">
        <v>46165</v>
      </c>
      <c r="H26" s="80" t="s">
        <v>377</v>
      </c>
      <c r="I26" s="80" t="s">
        <v>36</v>
      </c>
      <c r="J26" s="89">
        <v>46175</v>
      </c>
      <c r="K26" s="80" t="s">
        <v>377</v>
      </c>
      <c r="L26" s="80" t="s">
        <v>36</v>
      </c>
      <c r="M26" s="89">
        <v>46185</v>
      </c>
      <c r="N26" s="80" t="s">
        <v>377</v>
      </c>
      <c r="O26" s="80" t="s">
        <v>526</v>
      </c>
      <c r="P26" s="68"/>
    </row>
    <row r="27" spans="1:19" ht="71.25">
      <c r="A27" s="80" t="s">
        <v>84</v>
      </c>
      <c r="B27" s="80" t="s">
        <v>527</v>
      </c>
      <c r="C27" s="80" t="s">
        <v>528</v>
      </c>
      <c r="D27" s="80" t="s">
        <v>529</v>
      </c>
      <c r="E27" s="80" t="s">
        <v>520</v>
      </c>
      <c r="F27" s="80" t="s">
        <v>36</v>
      </c>
      <c r="G27" s="89">
        <v>46165</v>
      </c>
      <c r="H27" s="80" t="s">
        <v>377</v>
      </c>
      <c r="I27" s="80" t="s">
        <v>36</v>
      </c>
      <c r="J27" s="89">
        <v>46175</v>
      </c>
      <c r="K27" s="80" t="s">
        <v>377</v>
      </c>
      <c r="L27" s="80" t="s">
        <v>36</v>
      </c>
      <c r="M27" s="68"/>
      <c r="N27" s="80" t="s">
        <v>377</v>
      </c>
      <c r="O27" s="80" t="s">
        <v>530</v>
      </c>
      <c r="P27" s="68"/>
      <c r="S27" s="90"/>
    </row>
    <row r="28" spans="1:19" ht="85.5">
      <c r="A28" s="80" t="s">
        <v>531</v>
      </c>
      <c r="B28" s="80" t="s">
        <v>532</v>
      </c>
      <c r="C28" s="80" t="s">
        <v>533</v>
      </c>
      <c r="D28" s="80" t="s">
        <v>534</v>
      </c>
      <c r="E28" s="80" t="s">
        <v>520</v>
      </c>
      <c r="F28" s="80" t="s">
        <v>36</v>
      </c>
      <c r="G28" s="89">
        <v>46165</v>
      </c>
      <c r="H28" s="80" t="s">
        <v>377</v>
      </c>
      <c r="I28" s="80" t="s">
        <v>36</v>
      </c>
      <c r="J28" s="89">
        <v>46175</v>
      </c>
      <c r="K28" s="80" t="s">
        <v>377</v>
      </c>
      <c r="L28" s="80" t="s">
        <v>36</v>
      </c>
      <c r="M28" s="89">
        <v>46185</v>
      </c>
      <c r="N28" s="80" t="s">
        <v>377</v>
      </c>
      <c r="O28" s="80" t="s">
        <v>535</v>
      </c>
      <c r="P28" s="68"/>
    </row>
    <row r="29" spans="1:19" ht="57">
      <c r="A29" s="80" t="s">
        <v>536</v>
      </c>
      <c r="B29" s="80" t="s">
        <v>537</v>
      </c>
      <c r="C29" s="80" t="s">
        <v>538</v>
      </c>
      <c r="D29" s="80" t="s">
        <v>539</v>
      </c>
      <c r="E29" s="80" t="s">
        <v>520</v>
      </c>
      <c r="F29" s="80" t="s">
        <v>36</v>
      </c>
      <c r="G29" s="89">
        <v>46165</v>
      </c>
      <c r="H29" s="80" t="s">
        <v>377</v>
      </c>
      <c r="I29" s="80" t="s">
        <v>36</v>
      </c>
      <c r="J29" s="89">
        <v>46175</v>
      </c>
      <c r="K29" s="80" t="s">
        <v>377</v>
      </c>
      <c r="L29" s="80" t="s">
        <v>36</v>
      </c>
      <c r="M29" s="89">
        <v>46185</v>
      </c>
      <c r="N29" s="80" t="s">
        <v>377</v>
      </c>
      <c r="O29" s="80" t="s">
        <v>540</v>
      </c>
      <c r="P29" s="68"/>
    </row>
    <row r="30" spans="1:19" ht="12.75">
      <c r="A30" s="110" t="s">
        <v>542</v>
      </c>
      <c r="B30" s="194" t="s">
        <v>541</v>
      </c>
      <c r="C30" s="195"/>
      <c r="D30" s="195"/>
      <c r="E30" s="195"/>
      <c r="F30" s="195"/>
      <c r="G30" s="195"/>
      <c r="H30" s="195"/>
      <c r="I30" s="195"/>
      <c r="J30" s="195"/>
      <c r="K30" s="195"/>
      <c r="L30" s="195"/>
      <c r="M30" s="195"/>
      <c r="N30" s="195"/>
      <c r="O30" s="195"/>
      <c r="P30" s="161"/>
    </row>
    <row r="31" spans="1:19" ht="57">
      <c r="A31" s="80" t="s">
        <v>85</v>
      </c>
      <c r="B31" s="80" t="s">
        <v>543</v>
      </c>
      <c r="C31" s="80" t="s">
        <v>544</v>
      </c>
      <c r="D31" s="80" t="s">
        <v>545</v>
      </c>
      <c r="E31" s="80" t="s">
        <v>546</v>
      </c>
      <c r="F31" s="80" t="s">
        <v>36</v>
      </c>
      <c r="G31" s="89">
        <v>46165</v>
      </c>
      <c r="H31" s="80" t="s">
        <v>377</v>
      </c>
      <c r="I31" s="80" t="s">
        <v>36</v>
      </c>
      <c r="J31" s="89">
        <v>46175</v>
      </c>
      <c r="K31" s="80" t="s">
        <v>377</v>
      </c>
      <c r="L31" s="80" t="s">
        <v>36</v>
      </c>
      <c r="M31" s="89">
        <v>46185</v>
      </c>
      <c r="N31" s="80" t="s">
        <v>377</v>
      </c>
      <c r="O31" s="80" t="s">
        <v>547</v>
      </c>
      <c r="P31" s="68"/>
    </row>
    <row r="32" spans="1:19" ht="42.75">
      <c r="A32" s="80" t="s">
        <v>86</v>
      </c>
      <c r="B32" s="80" t="s">
        <v>548</v>
      </c>
      <c r="C32" s="80" t="s">
        <v>549</v>
      </c>
      <c r="D32" s="80" t="s">
        <v>550</v>
      </c>
      <c r="E32" s="80" t="s">
        <v>551</v>
      </c>
      <c r="F32" s="80" t="s">
        <v>36</v>
      </c>
      <c r="G32" s="89">
        <v>46165</v>
      </c>
      <c r="H32" s="80" t="s">
        <v>377</v>
      </c>
      <c r="I32" s="80" t="s">
        <v>36</v>
      </c>
      <c r="J32" s="89">
        <v>46175</v>
      </c>
      <c r="K32" s="80" t="s">
        <v>377</v>
      </c>
      <c r="L32" s="80" t="s">
        <v>36</v>
      </c>
      <c r="M32" s="89">
        <v>46185</v>
      </c>
      <c r="N32" s="80" t="s">
        <v>377</v>
      </c>
      <c r="O32" s="80" t="s">
        <v>552</v>
      </c>
      <c r="P32" s="68"/>
    </row>
    <row r="33" spans="1:16" ht="57">
      <c r="A33" s="80" t="s">
        <v>87</v>
      </c>
      <c r="B33" s="80" t="s">
        <v>553</v>
      </c>
      <c r="C33" s="80" t="s">
        <v>554</v>
      </c>
      <c r="D33" s="80" t="s">
        <v>555</v>
      </c>
      <c r="E33" s="80" t="s">
        <v>520</v>
      </c>
      <c r="F33" s="80" t="s">
        <v>36</v>
      </c>
      <c r="G33" s="89">
        <v>46165</v>
      </c>
      <c r="H33" s="80" t="s">
        <v>377</v>
      </c>
      <c r="I33" s="80" t="s">
        <v>36</v>
      </c>
      <c r="J33" s="89">
        <v>46175</v>
      </c>
      <c r="K33" s="80" t="s">
        <v>377</v>
      </c>
      <c r="L33" s="80" t="s">
        <v>36</v>
      </c>
      <c r="M33" s="89">
        <v>46185</v>
      </c>
      <c r="N33" s="80" t="s">
        <v>377</v>
      </c>
      <c r="O33" s="80" t="s">
        <v>556</v>
      </c>
      <c r="P33" s="68"/>
    </row>
    <row r="34" spans="1:16" ht="12.75">
      <c r="A34" s="110" t="s">
        <v>558</v>
      </c>
      <c r="B34" s="194" t="s">
        <v>557</v>
      </c>
      <c r="C34" s="195"/>
      <c r="D34" s="195"/>
      <c r="E34" s="195"/>
      <c r="F34" s="195"/>
      <c r="G34" s="195"/>
      <c r="H34" s="195"/>
      <c r="I34" s="195"/>
      <c r="J34" s="195"/>
      <c r="K34" s="195"/>
      <c r="L34" s="195"/>
      <c r="M34" s="195"/>
      <c r="N34" s="195"/>
      <c r="O34" s="195"/>
      <c r="P34" s="161"/>
    </row>
    <row r="35" spans="1:16" ht="71.25">
      <c r="A35" s="80" t="s">
        <v>88</v>
      </c>
      <c r="B35" s="80" t="s">
        <v>559</v>
      </c>
      <c r="C35" s="80" t="s">
        <v>560</v>
      </c>
      <c r="D35" s="80" t="s">
        <v>561</v>
      </c>
      <c r="E35" s="80" t="s">
        <v>520</v>
      </c>
      <c r="F35" s="80" t="s">
        <v>36</v>
      </c>
      <c r="G35" s="89">
        <v>46165</v>
      </c>
      <c r="H35" s="80" t="s">
        <v>377</v>
      </c>
      <c r="I35" s="80" t="s">
        <v>36</v>
      </c>
      <c r="J35" s="89">
        <v>46175</v>
      </c>
      <c r="K35" s="80" t="s">
        <v>377</v>
      </c>
      <c r="L35" s="80" t="s">
        <v>36</v>
      </c>
      <c r="M35" s="89">
        <v>46185</v>
      </c>
      <c r="N35" s="80" t="s">
        <v>377</v>
      </c>
      <c r="O35" s="80" t="s">
        <v>562</v>
      </c>
      <c r="P35" s="68"/>
    </row>
    <row r="36" spans="1:16" ht="85.5">
      <c r="A36" s="80" t="s">
        <v>89</v>
      </c>
      <c r="B36" s="80" t="s">
        <v>563</v>
      </c>
      <c r="C36" s="80" t="s">
        <v>564</v>
      </c>
      <c r="D36" s="80" t="s">
        <v>565</v>
      </c>
      <c r="E36" s="80" t="s">
        <v>520</v>
      </c>
      <c r="F36" s="80" t="s">
        <v>36</v>
      </c>
      <c r="G36" s="89">
        <v>46165</v>
      </c>
      <c r="H36" s="80" t="s">
        <v>377</v>
      </c>
      <c r="I36" s="80" t="s">
        <v>36</v>
      </c>
      <c r="J36" s="89">
        <v>46175</v>
      </c>
      <c r="K36" s="80" t="s">
        <v>377</v>
      </c>
      <c r="L36" s="80" t="s">
        <v>36</v>
      </c>
      <c r="M36" s="89">
        <v>46185</v>
      </c>
      <c r="N36" s="80" t="s">
        <v>377</v>
      </c>
      <c r="O36" s="80" t="s">
        <v>566</v>
      </c>
      <c r="P36" s="68"/>
    </row>
    <row r="37" spans="1:16" ht="57">
      <c r="A37" s="80" t="s">
        <v>90</v>
      </c>
      <c r="B37" s="80" t="s">
        <v>567</v>
      </c>
      <c r="C37" s="80" t="s">
        <v>568</v>
      </c>
      <c r="D37" s="80" t="s">
        <v>539</v>
      </c>
      <c r="E37" s="80" t="s">
        <v>520</v>
      </c>
      <c r="F37" s="80" t="s">
        <v>36</v>
      </c>
      <c r="G37" s="89">
        <v>46165</v>
      </c>
      <c r="H37" s="80" t="s">
        <v>377</v>
      </c>
      <c r="I37" s="80" t="s">
        <v>36</v>
      </c>
      <c r="J37" s="89">
        <v>46175</v>
      </c>
      <c r="K37" s="80" t="s">
        <v>377</v>
      </c>
      <c r="L37" s="80" t="s">
        <v>36</v>
      </c>
      <c r="M37" s="89">
        <v>46185</v>
      </c>
      <c r="N37" s="80" t="s">
        <v>377</v>
      </c>
      <c r="O37" s="80" t="s">
        <v>569</v>
      </c>
      <c r="P37" s="111"/>
    </row>
    <row r="38" spans="1:16" ht="12.75">
      <c r="A38" s="112"/>
      <c r="B38" s="196"/>
      <c r="C38" s="193"/>
      <c r="D38" s="193"/>
      <c r="E38" s="193"/>
      <c r="F38" s="193"/>
      <c r="G38" s="193"/>
      <c r="H38" s="193"/>
      <c r="I38" s="193"/>
      <c r="J38" s="193"/>
      <c r="K38" s="193"/>
      <c r="L38" s="193"/>
      <c r="M38" s="193"/>
      <c r="N38" s="193"/>
      <c r="O38" s="193"/>
      <c r="P38" s="193"/>
    </row>
    <row r="39" spans="1:16" ht="12.75">
      <c r="A39" s="113"/>
      <c r="B39" s="113"/>
      <c r="C39" s="113"/>
      <c r="D39" s="113"/>
      <c r="E39" s="114"/>
      <c r="F39" s="115"/>
      <c r="G39" s="116"/>
      <c r="H39" s="113"/>
      <c r="I39" s="115"/>
      <c r="J39" s="116"/>
      <c r="K39" s="113"/>
      <c r="L39" s="115"/>
      <c r="M39" s="116"/>
      <c r="N39" s="113"/>
      <c r="O39" s="114"/>
      <c r="P39" s="114"/>
    </row>
    <row r="40" spans="1:16" ht="12.75">
      <c r="A40" s="113"/>
      <c r="B40" s="113"/>
      <c r="C40" s="113"/>
      <c r="D40" s="113"/>
      <c r="E40" s="114"/>
      <c r="F40" s="115"/>
      <c r="G40" s="116"/>
      <c r="H40" s="113"/>
      <c r="I40" s="115"/>
      <c r="J40" s="116"/>
      <c r="K40" s="113"/>
      <c r="L40" s="115"/>
      <c r="M40" s="116"/>
      <c r="N40" s="113"/>
      <c r="O40" s="114"/>
      <c r="P40" s="114"/>
    </row>
    <row r="41" spans="1:16" ht="12.75">
      <c r="A41" s="113"/>
      <c r="B41" s="113"/>
      <c r="C41" s="113"/>
      <c r="D41" s="113"/>
      <c r="E41" s="114"/>
      <c r="F41" s="115"/>
      <c r="G41" s="116"/>
      <c r="H41" s="113"/>
      <c r="I41" s="115"/>
      <c r="J41" s="116"/>
      <c r="K41" s="113"/>
      <c r="L41" s="115"/>
      <c r="M41" s="116"/>
      <c r="N41" s="113"/>
      <c r="O41" s="114"/>
      <c r="P41" s="114"/>
    </row>
    <row r="42" spans="1:16" ht="12.75">
      <c r="A42" s="112"/>
      <c r="B42" s="196"/>
      <c r="C42" s="193"/>
      <c r="D42" s="193"/>
      <c r="E42" s="193"/>
      <c r="F42" s="193"/>
      <c r="G42" s="193"/>
      <c r="H42" s="193"/>
      <c r="I42" s="193"/>
      <c r="J42" s="193"/>
      <c r="K42" s="193"/>
      <c r="L42" s="193"/>
      <c r="M42" s="193"/>
      <c r="N42" s="193"/>
      <c r="O42" s="193"/>
      <c r="P42" s="193"/>
    </row>
    <row r="43" spans="1:16" ht="12.75">
      <c r="A43" s="113"/>
      <c r="B43" s="113"/>
      <c r="C43" s="113"/>
      <c r="D43" s="113"/>
      <c r="E43" s="114"/>
      <c r="F43" s="115"/>
      <c r="G43" s="116"/>
      <c r="H43" s="113"/>
      <c r="I43" s="115"/>
      <c r="J43" s="116"/>
      <c r="K43" s="113"/>
      <c r="L43" s="115"/>
      <c r="M43" s="116"/>
      <c r="N43" s="113"/>
      <c r="O43" s="114"/>
      <c r="P43" s="114"/>
    </row>
    <row r="44" spans="1:16" ht="12.75">
      <c r="A44" s="113"/>
      <c r="B44" s="113"/>
      <c r="C44" s="113"/>
      <c r="D44" s="113"/>
      <c r="E44" s="114"/>
      <c r="F44" s="115"/>
      <c r="G44" s="116"/>
      <c r="H44" s="113"/>
      <c r="I44" s="115"/>
      <c r="J44" s="116"/>
      <c r="K44" s="113"/>
      <c r="L44" s="115"/>
      <c r="M44" s="116"/>
      <c r="N44" s="113"/>
      <c r="O44" s="114"/>
      <c r="P44" s="114"/>
    </row>
    <row r="45" spans="1:16" ht="12.75">
      <c r="A45" s="113"/>
      <c r="B45" s="113"/>
      <c r="C45" s="113"/>
      <c r="D45" s="113"/>
      <c r="E45" s="114"/>
      <c r="F45" s="115"/>
      <c r="G45" s="116"/>
      <c r="H45" s="113"/>
      <c r="I45" s="115"/>
      <c r="J45" s="116"/>
      <c r="K45" s="113"/>
      <c r="L45" s="115"/>
      <c r="M45" s="116"/>
      <c r="N45" s="113"/>
      <c r="O45" s="114"/>
      <c r="P45" s="114"/>
    </row>
    <row r="46" spans="1:16" ht="12.75">
      <c r="A46" s="196"/>
      <c r="B46" s="193"/>
      <c r="C46" s="193"/>
      <c r="D46" s="193"/>
      <c r="E46" s="193"/>
      <c r="F46" s="193"/>
      <c r="G46" s="193"/>
      <c r="H46" s="193"/>
      <c r="I46" s="193"/>
      <c r="J46" s="193"/>
      <c r="K46" s="193"/>
      <c r="L46" s="193"/>
      <c r="M46" s="193"/>
      <c r="N46" s="193"/>
      <c r="O46" s="193"/>
      <c r="P46" s="114"/>
    </row>
    <row r="47" spans="1:16" ht="12.75">
      <c r="A47" s="113"/>
      <c r="B47" s="115"/>
      <c r="C47" s="115"/>
      <c r="D47" s="115"/>
      <c r="E47" s="115"/>
      <c r="F47" s="115"/>
      <c r="G47" s="116"/>
      <c r="H47" s="117"/>
      <c r="I47" s="115"/>
      <c r="J47" s="116"/>
      <c r="K47" s="113"/>
      <c r="L47" s="115"/>
      <c r="M47" s="116"/>
      <c r="N47" s="113"/>
      <c r="O47" s="114"/>
      <c r="P47" s="114"/>
    </row>
    <row r="48" spans="1:16" ht="12.75">
      <c r="A48" s="113"/>
      <c r="B48" s="115"/>
      <c r="C48" s="115"/>
      <c r="D48" s="115"/>
      <c r="E48" s="115"/>
      <c r="F48" s="115"/>
      <c r="G48" s="116"/>
      <c r="H48" s="117"/>
      <c r="I48" s="115"/>
      <c r="J48" s="116"/>
      <c r="K48" s="113"/>
      <c r="L48" s="115"/>
      <c r="M48" s="116"/>
      <c r="N48" s="113"/>
      <c r="O48" s="114"/>
      <c r="P48" s="114"/>
    </row>
    <row r="49" spans="1:16" ht="12.75">
      <c r="A49" s="113"/>
      <c r="B49" s="115"/>
      <c r="C49" s="115"/>
      <c r="D49" s="115"/>
      <c r="E49" s="115"/>
      <c r="F49" s="115"/>
      <c r="G49" s="116"/>
      <c r="H49" s="117"/>
      <c r="I49" s="115"/>
      <c r="J49" s="116"/>
      <c r="K49" s="113"/>
      <c r="L49" s="115"/>
      <c r="M49" s="116"/>
      <c r="N49" s="113"/>
      <c r="O49" s="114"/>
      <c r="P49" s="114"/>
    </row>
    <row r="50" spans="1:16" ht="12.75">
      <c r="A50" s="113"/>
      <c r="B50" s="115"/>
      <c r="C50" s="115"/>
      <c r="D50" s="115"/>
      <c r="E50" s="115"/>
      <c r="F50" s="115"/>
      <c r="G50" s="116"/>
      <c r="H50" s="117"/>
      <c r="I50" s="115"/>
      <c r="J50" s="116"/>
      <c r="K50" s="113"/>
      <c r="L50" s="115"/>
      <c r="M50" s="116"/>
      <c r="N50" s="113"/>
      <c r="O50" s="114"/>
      <c r="P50" s="114"/>
    </row>
    <row r="51" spans="1:16" ht="12.75">
      <c r="A51" s="113"/>
      <c r="B51" s="115"/>
      <c r="C51" s="115"/>
      <c r="D51" s="115"/>
      <c r="E51" s="115"/>
      <c r="F51" s="115"/>
      <c r="G51" s="116"/>
      <c r="H51" s="117"/>
      <c r="I51" s="115"/>
      <c r="J51" s="116"/>
      <c r="K51" s="113"/>
      <c r="L51" s="115"/>
      <c r="M51" s="116"/>
      <c r="N51" s="113"/>
      <c r="O51" s="114"/>
      <c r="P51" s="114"/>
    </row>
    <row r="52" spans="1:16" ht="12.75">
      <c r="A52" s="192"/>
      <c r="B52" s="193"/>
      <c r="C52" s="193"/>
      <c r="D52" s="193"/>
      <c r="E52" s="193"/>
      <c r="F52" s="193"/>
      <c r="G52" s="193"/>
      <c r="H52" s="193"/>
      <c r="I52" s="193"/>
      <c r="J52" s="193"/>
      <c r="K52" s="193"/>
      <c r="L52" s="193"/>
      <c r="M52" s="193"/>
      <c r="N52" s="193"/>
      <c r="O52" s="193"/>
      <c r="P52" s="114"/>
    </row>
    <row r="53" spans="1:16" ht="12.75">
      <c r="A53" s="113"/>
      <c r="B53" s="115"/>
      <c r="C53" s="115"/>
      <c r="D53" s="115"/>
      <c r="E53" s="118"/>
      <c r="F53" s="115"/>
      <c r="G53" s="116"/>
      <c r="H53" s="117"/>
      <c r="I53" s="115"/>
      <c r="J53" s="116"/>
      <c r="K53" s="113"/>
      <c r="L53" s="115"/>
      <c r="M53" s="116"/>
      <c r="N53" s="113"/>
      <c r="O53" s="114"/>
      <c r="P53" s="114"/>
    </row>
    <row r="54" spans="1:16" ht="12.75">
      <c r="A54" s="113"/>
      <c r="B54" s="115"/>
      <c r="C54" s="115"/>
      <c r="D54" s="115"/>
      <c r="E54" s="118"/>
      <c r="F54" s="115"/>
      <c r="G54" s="116"/>
      <c r="H54" s="117"/>
      <c r="I54" s="115"/>
      <c r="J54" s="116"/>
      <c r="K54" s="113"/>
      <c r="L54" s="115"/>
      <c r="M54" s="116"/>
      <c r="N54" s="113"/>
      <c r="O54" s="114"/>
      <c r="P54" s="114"/>
    </row>
    <row r="55" spans="1:16" ht="12.75">
      <c r="A55" s="113"/>
      <c r="B55" s="115"/>
      <c r="C55" s="115"/>
      <c r="D55" s="115"/>
      <c r="E55" s="118"/>
      <c r="F55" s="115"/>
      <c r="G55" s="116"/>
      <c r="H55" s="117"/>
      <c r="I55" s="115"/>
      <c r="J55" s="116"/>
      <c r="K55" s="113"/>
      <c r="L55" s="115"/>
      <c r="M55" s="116"/>
      <c r="N55" s="113"/>
      <c r="O55" s="114"/>
      <c r="P55" s="114"/>
    </row>
    <row r="56" spans="1:16" ht="14.25">
      <c r="A56" s="113"/>
      <c r="B56" s="115"/>
      <c r="C56" s="115"/>
      <c r="D56" s="115"/>
      <c r="E56" s="118"/>
      <c r="F56" s="115"/>
      <c r="G56" s="116"/>
      <c r="H56" s="117"/>
      <c r="I56" s="115"/>
      <c r="J56" s="116"/>
      <c r="K56" s="113"/>
      <c r="L56" s="115"/>
      <c r="M56" s="116"/>
      <c r="N56" s="113"/>
      <c r="O56" s="114"/>
      <c r="P56" s="119"/>
    </row>
    <row r="57" spans="1:16" ht="12.75">
      <c r="A57" s="113"/>
      <c r="B57" s="115"/>
      <c r="C57" s="115"/>
      <c r="D57" s="115"/>
      <c r="E57" s="118"/>
      <c r="F57" s="115"/>
      <c r="G57" s="116"/>
      <c r="H57" s="117"/>
      <c r="I57" s="115"/>
      <c r="J57" s="116"/>
      <c r="K57" s="113"/>
      <c r="L57" s="115"/>
      <c r="M57" s="116"/>
      <c r="N57" s="113"/>
      <c r="O57" s="114"/>
      <c r="P57" s="114"/>
    </row>
    <row r="58" spans="1:16" ht="12.75">
      <c r="A58" s="192"/>
      <c r="B58" s="193"/>
      <c r="C58" s="193"/>
      <c r="D58" s="193"/>
      <c r="E58" s="193"/>
      <c r="F58" s="193"/>
      <c r="G58" s="193"/>
      <c r="H58" s="193"/>
      <c r="I58" s="193"/>
      <c r="J58" s="193"/>
      <c r="K58" s="193"/>
      <c r="L58" s="193"/>
      <c r="M58" s="193"/>
      <c r="N58" s="193"/>
      <c r="O58" s="193"/>
      <c r="P58" s="114"/>
    </row>
    <row r="59" spans="1:16" ht="12.75">
      <c r="A59" s="113"/>
      <c r="B59" s="115"/>
      <c r="C59" s="115"/>
      <c r="D59" s="115"/>
      <c r="E59" s="115"/>
      <c r="F59" s="115"/>
      <c r="G59" s="116"/>
      <c r="H59" s="117"/>
      <c r="I59" s="115"/>
      <c r="J59" s="116"/>
      <c r="K59" s="113"/>
      <c r="L59" s="115"/>
      <c r="M59" s="116"/>
      <c r="N59" s="113"/>
      <c r="O59" s="114"/>
      <c r="P59" s="114"/>
    </row>
    <row r="60" spans="1:16" ht="12.75">
      <c r="A60" s="113"/>
      <c r="B60" s="115"/>
      <c r="C60" s="115"/>
      <c r="D60" s="115"/>
      <c r="E60" s="115"/>
      <c r="F60" s="115"/>
      <c r="G60" s="116"/>
      <c r="H60" s="117"/>
      <c r="I60" s="115"/>
      <c r="J60" s="116"/>
      <c r="K60" s="113"/>
      <c r="L60" s="115"/>
      <c r="M60" s="116"/>
      <c r="N60" s="113"/>
      <c r="O60" s="114"/>
      <c r="P60" s="114"/>
    </row>
    <row r="61" spans="1:16" ht="12.75">
      <c r="A61" s="113"/>
      <c r="B61" s="115"/>
      <c r="C61" s="115"/>
      <c r="D61" s="115"/>
      <c r="E61" s="115"/>
      <c r="F61" s="115"/>
      <c r="G61" s="116"/>
      <c r="H61" s="117"/>
      <c r="I61" s="115"/>
      <c r="J61" s="116"/>
      <c r="K61" s="113"/>
      <c r="L61" s="115"/>
      <c r="M61" s="116"/>
      <c r="N61" s="113"/>
      <c r="O61" s="114"/>
      <c r="P61" s="114"/>
    </row>
    <row r="62" spans="1:16" ht="14.25">
      <c r="A62" s="113"/>
      <c r="B62" s="115"/>
      <c r="C62" s="115"/>
      <c r="D62" s="115"/>
      <c r="E62" s="115"/>
      <c r="F62" s="115"/>
      <c r="G62" s="116"/>
      <c r="H62" s="117"/>
      <c r="I62" s="115"/>
      <c r="J62" s="116"/>
      <c r="K62" s="113"/>
      <c r="L62" s="115"/>
      <c r="M62" s="116"/>
      <c r="N62" s="113"/>
      <c r="O62" s="114"/>
      <c r="P62" s="119"/>
    </row>
    <row r="63" spans="1:16" ht="12.75">
      <c r="A63" s="113"/>
      <c r="B63" s="115"/>
      <c r="C63" s="115"/>
      <c r="D63" s="115"/>
      <c r="E63" s="115"/>
      <c r="F63" s="115"/>
      <c r="G63" s="116"/>
      <c r="H63" s="117"/>
      <c r="I63" s="115"/>
      <c r="J63" s="116"/>
      <c r="K63" s="113"/>
      <c r="L63" s="115"/>
      <c r="M63" s="116"/>
      <c r="N63" s="113"/>
      <c r="O63" s="114"/>
      <c r="P63" s="114"/>
    </row>
    <row r="64" spans="1:16" ht="12.75">
      <c r="A64" s="192"/>
      <c r="B64" s="193"/>
      <c r="C64" s="193"/>
      <c r="D64" s="193"/>
      <c r="E64" s="193"/>
      <c r="F64" s="193"/>
      <c r="G64" s="193"/>
      <c r="H64" s="193"/>
      <c r="I64" s="193"/>
      <c r="J64" s="193"/>
      <c r="K64" s="193"/>
      <c r="L64" s="193"/>
      <c r="M64" s="193"/>
      <c r="N64" s="193"/>
      <c r="O64" s="193"/>
      <c r="P64" s="114"/>
    </row>
    <row r="65" spans="1:16" ht="12.75">
      <c r="A65" s="113"/>
      <c r="B65" s="115"/>
      <c r="C65" s="115"/>
      <c r="D65" s="115"/>
      <c r="E65" s="118"/>
      <c r="F65" s="115"/>
      <c r="G65" s="116"/>
      <c r="H65" s="117"/>
      <c r="I65" s="115"/>
      <c r="J65" s="116"/>
      <c r="K65" s="113"/>
      <c r="L65" s="115"/>
      <c r="M65" s="116"/>
      <c r="N65" s="113"/>
      <c r="O65" s="114"/>
      <c r="P65" s="114"/>
    </row>
    <row r="66" spans="1:16" ht="12.75">
      <c r="A66" s="113"/>
      <c r="B66" s="115"/>
      <c r="C66" s="115"/>
      <c r="D66" s="115"/>
      <c r="E66" s="118"/>
      <c r="F66" s="115"/>
      <c r="G66" s="116"/>
      <c r="H66" s="117"/>
      <c r="I66" s="115"/>
      <c r="J66" s="116"/>
      <c r="K66" s="113"/>
      <c r="L66" s="115"/>
      <c r="M66" s="116"/>
      <c r="N66" s="113"/>
      <c r="O66" s="114"/>
      <c r="P66" s="114"/>
    </row>
    <row r="67" spans="1:16" ht="12.75">
      <c r="A67" s="113"/>
      <c r="B67" s="115"/>
      <c r="C67" s="115"/>
      <c r="D67" s="115"/>
      <c r="E67" s="118"/>
      <c r="F67" s="115"/>
      <c r="G67" s="116"/>
      <c r="H67" s="117"/>
      <c r="I67" s="115"/>
      <c r="J67" s="116"/>
      <c r="K67" s="113"/>
      <c r="L67" s="115"/>
      <c r="M67" s="116"/>
      <c r="N67" s="113"/>
      <c r="O67" s="114"/>
      <c r="P67" s="114"/>
    </row>
    <row r="68" spans="1:16" ht="14.25">
      <c r="A68" s="113"/>
      <c r="B68" s="115"/>
      <c r="C68" s="115"/>
      <c r="D68" s="115"/>
      <c r="E68" s="118"/>
      <c r="F68" s="115"/>
      <c r="G68" s="116"/>
      <c r="H68" s="117"/>
      <c r="I68" s="115"/>
      <c r="J68" s="116"/>
      <c r="K68" s="113"/>
      <c r="L68" s="115"/>
      <c r="M68" s="116"/>
      <c r="N68" s="113"/>
      <c r="O68" s="114"/>
      <c r="P68" s="119"/>
    </row>
    <row r="69" spans="1:16" ht="12.75">
      <c r="A69" s="113"/>
      <c r="B69" s="115"/>
      <c r="C69" s="115"/>
      <c r="D69" s="115"/>
      <c r="E69" s="118"/>
      <c r="F69" s="115"/>
      <c r="G69" s="116"/>
      <c r="H69" s="117"/>
      <c r="I69" s="115"/>
      <c r="J69" s="116"/>
      <c r="K69" s="113"/>
      <c r="L69" s="115"/>
      <c r="M69" s="116"/>
      <c r="N69" s="113"/>
      <c r="O69" s="114"/>
      <c r="P69" s="114"/>
    </row>
    <row r="70" spans="1:16" ht="12.75">
      <c r="A70" s="192"/>
      <c r="B70" s="193"/>
      <c r="C70" s="193"/>
      <c r="D70" s="193"/>
      <c r="E70" s="193"/>
      <c r="F70" s="193"/>
      <c r="G70" s="193"/>
      <c r="H70" s="193"/>
      <c r="I70" s="193"/>
      <c r="J70" s="193"/>
      <c r="K70" s="193"/>
      <c r="L70" s="193"/>
      <c r="M70" s="193"/>
      <c r="N70" s="193"/>
      <c r="O70" s="193"/>
      <c r="P70" s="114"/>
    </row>
    <row r="71" spans="1:16" ht="12.75">
      <c r="A71" s="113"/>
      <c r="B71" s="115"/>
      <c r="C71" s="115"/>
      <c r="D71" s="115"/>
      <c r="E71" s="118"/>
      <c r="F71" s="115"/>
      <c r="G71" s="116"/>
      <c r="H71" s="117"/>
      <c r="I71" s="115"/>
      <c r="J71" s="116"/>
      <c r="K71" s="113"/>
      <c r="L71" s="115"/>
      <c r="M71" s="116"/>
      <c r="N71" s="113"/>
      <c r="O71" s="114"/>
      <c r="P71" s="114"/>
    </row>
    <row r="72" spans="1:16" ht="12.75">
      <c r="A72" s="113"/>
      <c r="B72" s="115"/>
      <c r="C72" s="115"/>
      <c r="D72" s="115"/>
      <c r="E72" s="118"/>
      <c r="F72" s="115"/>
      <c r="G72" s="116"/>
      <c r="H72" s="117"/>
      <c r="I72" s="115"/>
      <c r="J72" s="116"/>
      <c r="K72" s="113"/>
      <c r="L72" s="115"/>
      <c r="M72" s="116"/>
      <c r="N72" s="113"/>
      <c r="O72" s="114"/>
      <c r="P72" s="114"/>
    </row>
    <row r="73" spans="1:16" ht="12.75">
      <c r="A73" s="113"/>
      <c r="B73" s="115"/>
      <c r="C73" s="115"/>
      <c r="D73" s="115"/>
      <c r="E73" s="118"/>
      <c r="F73" s="115"/>
      <c r="G73" s="116"/>
      <c r="H73" s="117"/>
      <c r="I73" s="115"/>
      <c r="J73" s="116"/>
      <c r="K73" s="113"/>
      <c r="L73" s="115"/>
      <c r="M73" s="116"/>
      <c r="N73" s="113"/>
      <c r="O73" s="114"/>
      <c r="P73" s="114"/>
    </row>
    <row r="74" spans="1:16" ht="14.25">
      <c r="A74" s="113"/>
      <c r="B74" s="115"/>
      <c r="C74" s="115"/>
      <c r="D74" s="115"/>
      <c r="E74" s="118"/>
      <c r="F74" s="115"/>
      <c r="G74" s="116"/>
      <c r="H74" s="117"/>
      <c r="I74" s="115"/>
      <c r="J74" s="116"/>
      <c r="K74" s="113"/>
      <c r="L74" s="115"/>
      <c r="M74" s="116"/>
      <c r="N74" s="113"/>
      <c r="O74" s="114"/>
      <c r="P74" s="119"/>
    </row>
    <row r="75" spans="1:16" ht="12.75">
      <c r="A75" s="113"/>
      <c r="B75" s="115"/>
      <c r="C75" s="115"/>
      <c r="D75" s="115"/>
      <c r="E75" s="118"/>
      <c r="F75" s="115"/>
      <c r="G75" s="116"/>
      <c r="H75" s="117"/>
      <c r="I75" s="115"/>
      <c r="J75" s="116"/>
      <c r="K75" s="113"/>
      <c r="L75" s="115"/>
      <c r="M75" s="116"/>
      <c r="N75" s="113"/>
      <c r="O75" s="114"/>
      <c r="P75" s="114"/>
    </row>
    <row r="76" spans="1:16" ht="12.75">
      <c r="A76" s="192"/>
      <c r="B76" s="193"/>
      <c r="C76" s="193"/>
      <c r="D76" s="193"/>
      <c r="E76" s="193"/>
      <c r="F76" s="193"/>
      <c r="G76" s="193"/>
      <c r="H76" s="193"/>
      <c r="I76" s="193"/>
      <c r="J76" s="193"/>
      <c r="K76" s="193"/>
      <c r="L76" s="193"/>
      <c r="M76" s="193"/>
      <c r="N76" s="193"/>
      <c r="O76" s="193"/>
      <c r="P76" s="114"/>
    </row>
    <row r="77" spans="1:16" ht="12.75">
      <c r="A77" s="113"/>
      <c r="B77" s="115"/>
      <c r="C77" s="115"/>
      <c r="D77" s="115"/>
      <c r="E77" s="118"/>
      <c r="F77" s="115"/>
      <c r="G77" s="116"/>
      <c r="H77" s="117"/>
      <c r="I77" s="115"/>
      <c r="J77" s="116"/>
      <c r="K77" s="113"/>
      <c r="L77" s="115"/>
      <c r="M77" s="116"/>
      <c r="N77" s="113"/>
      <c r="O77" s="114"/>
      <c r="P77" s="114"/>
    </row>
    <row r="78" spans="1:16" ht="12.75">
      <c r="A78" s="113"/>
      <c r="B78" s="115"/>
      <c r="C78" s="115"/>
      <c r="D78" s="115"/>
      <c r="E78" s="118"/>
      <c r="F78" s="115"/>
      <c r="G78" s="116"/>
      <c r="H78" s="117"/>
      <c r="I78" s="115"/>
      <c r="J78" s="116"/>
      <c r="K78" s="113"/>
      <c r="L78" s="115"/>
      <c r="M78" s="116"/>
      <c r="N78" s="113"/>
      <c r="O78" s="114"/>
      <c r="P78" s="114"/>
    </row>
    <row r="79" spans="1:16" ht="12.75">
      <c r="A79" s="113"/>
      <c r="B79" s="115"/>
      <c r="C79" s="115"/>
      <c r="D79" s="115"/>
      <c r="E79" s="118"/>
      <c r="F79" s="115"/>
      <c r="G79" s="116"/>
      <c r="H79" s="117"/>
      <c r="I79" s="115"/>
      <c r="J79" s="116"/>
      <c r="K79" s="113"/>
      <c r="L79" s="115"/>
      <c r="M79" s="116"/>
      <c r="N79" s="113"/>
      <c r="O79" s="114"/>
      <c r="P79" s="114"/>
    </row>
    <row r="80" spans="1:16" ht="14.25">
      <c r="A80" s="113"/>
      <c r="B80" s="115"/>
      <c r="C80" s="115"/>
      <c r="D80" s="115"/>
      <c r="E80" s="118"/>
      <c r="F80" s="115"/>
      <c r="G80" s="116"/>
      <c r="H80" s="117"/>
      <c r="I80" s="115"/>
      <c r="J80" s="116"/>
      <c r="K80" s="113"/>
      <c r="L80" s="115"/>
      <c r="M80" s="116"/>
      <c r="N80" s="113"/>
      <c r="O80" s="114"/>
      <c r="P80" s="119"/>
    </row>
    <row r="81" spans="1:16" ht="12.75">
      <c r="A81" s="113"/>
      <c r="B81" s="115"/>
      <c r="C81" s="115"/>
      <c r="D81" s="115"/>
      <c r="E81" s="118"/>
      <c r="F81" s="115"/>
      <c r="G81" s="116"/>
      <c r="H81" s="117"/>
      <c r="I81" s="115"/>
      <c r="J81" s="116"/>
      <c r="K81" s="113"/>
      <c r="L81" s="115"/>
      <c r="M81" s="116"/>
      <c r="N81" s="113"/>
      <c r="O81" s="114"/>
      <c r="P81" s="114"/>
    </row>
    <row r="82" spans="1:16" ht="12.75">
      <c r="A82" s="192"/>
      <c r="B82" s="193"/>
      <c r="C82" s="193"/>
      <c r="D82" s="193"/>
      <c r="E82" s="193"/>
      <c r="F82" s="193"/>
      <c r="G82" s="193"/>
      <c r="H82" s="193"/>
      <c r="I82" s="193"/>
      <c r="J82" s="193"/>
      <c r="K82" s="193"/>
      <c r="L82" s="193"/>
      <c r="M82" s="193"/>
      <c r="N82" s="193"/>
      <c r="O82" s="193"/>
      <c r="P82" s="114"/>
    </row>
    <row r="83" spans="1:16" ht="12.75">
      <c r="A83" s="113"/>
      <c r="B83" s="115"/>
      <c r="C83" s="115"/>
      <c r="D83" s="115"/>
      <c r="E83" s="118"/>
      <c r="F83" s="115"/>
      <c r="G83" s="116"/>
      <c r="H83" s="117"/>
      <c r="I83" s="115"/>
      <c r="J83" s="116"/>
      <c r="K83" s="113"/>
      <c r="L83" s="115"/>
      <c r="M83" s="116"/>
      <c r="N83" s="113"/>
      <c r="O83" s="114"/>
      <c r="P83" s="114"/>
    </row>
    <row r="84" spans="1:16" ht="12.75">
      <c r="A84" s="113"/>
      <c r="B84" s="115"/>
      <c r="C84" s="115"/>
      <c r="D84" s="115"/>
      <c r="E84" s="118"/>
      <c r="F84" s="115"/>
      <c r="G84" s="116"/>
      <c r="H84" s="117"/>
      <c r="I84" s="115"/>
      <c r="J84" s="116"/>
      <c r="K84" s="113"/>
      <c r="L84" s="115"/>
      <c r="M84" s="116"/>
      <c r="N84" s="113"/>
      <c r="O84" s="114"/>
      <c r="P84" s="114"/>
    </row>
    <row r="85" spans="1:16" ht="12.75">
      <c r="A85" s="113"/>
      <c r="B85" s="115"/>
      <c r="C85" s="115"/>
      <c r="D85" s="115"/>
      <c r="E85" s="118"/>
      <c r="F85" s="115"/>
      <c r="G85" s="116"/>
      <c r="H85" s="117"/>
      <c r="I85" s="115"/>
      <c r="J85" s="116"/>
      <c r="K85" s="113"/>
      <c r="L85" s="115"/>
      <c r="M85" s="116"/>
      <c r="N85" s="113"/>
      <c r="O85" s="114"/>
      <c r="P85" s="114"/>
    </row>
    <row r="86" spans="1:16" ht="12.75">
      <c r="A86" s="113"/>
      <c r="B86" s="115"/>
      <c r="C86" s="115"/>
      <c r="D86" s="115"/>
      <c r="E86" s="118"/>
      <c r="F86" s="115"/>
      <c r="G86" s="116"/>
      <c r="H86" s="117"/>
      <c r="I86" s="115"/>
      <c r="J86" s="116"/>
      <c r="K86" s="113"/>
      <c r="L86" s="115"/>
      <c r="M86" s="116"/>
      <c r="N86" s="113"/>
      <c r="O86" s="114"/>
      <c r="P86" s="114"/>
    </row>
    <row r="87" spans="1:16" ht="12.75">
      <c r="A87" s="113"/>
      <c r="B87" s="115"/>
      <c r="C87" s="115"/>
      <c r="D87" s="115"/>
      <c r="E87" s="118"/>
      <c r="F87" s="115"/>
      <c r="G87" s="116"/>
      <c r="H87" s="117"/>
      <c r="I87" s="115"/>
      <c r="J87" s="116"/>
      <c r="K87" s="113"/>
      <c r="L87" s="115"/>
      <c r="M87" s="116"/>
      <c r="N87" s="113"/>
      <c r="O87" s="114"/>
      <c r="P87" s="114"/>
    </row>
    <row r="88" spans="1:16" ht="12.75">
      <c r="A88" s="192"/>
      <c r="B88" s="193"/>
      <c r="C88" s="193"/>
      <c r="D88" s="193"/>
      <c r="E88" s="193"/>
      <c r="F88" s="193"/>
      <c r="G88" s="193"/>
      <c r="H88" s="193"/>
      <c r="I88" s="193"/>
      <c r="J88" s="193"/>
      <c r="K88" s="193"/>
      <c r="L88" s="193"/>
      <c r="M88" s="193"/>
      <c r="N88" s="193"/>
      <c r="O88" s="193"/>
      <c r="P88" s="114"/>
    </row>
    <row r="89" spans="1:16" ht="12.75">
      <c r="A89" s="113"/>
      <c r="B89" s="113"/>
      <c r="C89" s="113"/>
      <c r="D89" s="113"/>
      <c r="E89" s="113"/>
      <c r="F89" s="115"/>
      <c r="G89" s="116"/>
      <c r="H89" s="117"/>
      <c r="I89" s="115"/>
      <c r="J89" s="116"/>
      <c r="K89" s="113"/>
      <c r="L89" s="115"/>
      <c r="M89" s="116"/>
      <c r="N89" s="113"/>
      <c r="O89" s="113"/>
      <c r="P89" s="114"/>
    </row>
    <row r="90" spans="1:16" ht="12.75">
      <c r="A90" s="113"/>
      <c r="B90" s="113"/>
      <c r="C90" s="113"/>
      <c r="D90" s="113"/>
      <c r="E90" s="113"/>
      <c r="F90" s="115"/>
      <c r="G90" s="116"/>
      <c r="H90" s="117"/>
      <c r="I90" s="115"/>
      <c r="J90" s="116"/>
      <c r="K90" s="113"/>
      <c r="L90" s="115"/>
      <c r="M90" s="116"/>
      <c r="N90" s="113"/>
      <c r="O90" s="113"/>
      <c r="P90" s="114"/>
    </row>
    <row r="91" spans="1:16" ht="12.75">
      <c r="A91" s="113"/>
      <c r="B91" s="113"/>
      <c r="C91" s="113"/>
      <c r="D91" s="113"/>
      <c r="E91" s="113"/>
      <c r="F91" s="115"/>
      <c r="G91" s="116"/>
      <c r="H91" s="117"/>
      <c r="I91" s="115"/>
      <c r="J91" s="116"/>
      <c r="K91" s="113"/>
      <c r="L91" s="115"/>
      <c r="M91" s="116"/>
      <c r="N91" s="113"/>
      <c r="O91" s="113"/>
      <c r="P91" s="114"/>
    </row>
    <row r="92" spans="1:16" ht="12.75">
      <c r="A92" s="113"/>
      <c r="B92" s="113"/>
      <c r="C92" s="113"/>
      <c r="D92" s="113"/>
      <c r="E92" s="113"/>
      <c r="F92" s="115"/>
      <c r="G92" s="116"/>
      <c r="H92" s="117"/>
      <c r="I92" s="115"/>
      <c r="J92" s="116"/>
      <c r="K92" s="113"/>
      <c r="L92" s="115"/>
      <c r="M92" s="116"/>
      <c r="N92" s="113"/>
      <c r="O92" s="113"/>
      <c r="P92" s="114"/>
    </row>
    <row r="93" spans="1:16" ht="12.75">
      <c r="A93" s="113"/>
      <c r="B93" s="113"/>
      <c r="C93" s="113"/>
      <c r="D93" s="113"/>
      <c r="E93" s="113"/>
      <c r="F93" s="115"/>
      <c r="G93" s="116"/>
      <c r="H93" s="117"/>
      <c r="I93" s="115"/>
      <c r="J93" s="116"/>
      <c r="K93" s="113"/>
      <c r="L93" s="115"/>
      <c r="M93" s="116"/>
      <c r="N93" s="113"/>
      <c r="O93" s="113"/>
      <c r="P93" s="114"/>
    </row>
    <row r="94" spans="1:16" ht="12.75">
      <c r="A94" s="192"/>
      <c r="B94" s="193"/>
      <c r="C94" s="193"/>
      <c r="D94" s="193"/>
      <c r="E94" s="193"/>
      <c r="F94" s="193"/>
      <c r="G94" s="193"/>
      <c r="H94" s="193"/>
      <c r="I94" s="193"/>
      <c r="J94" s="193"/>
      <c r="K94" s="193"/>
      <c r="L94" s="193"/>
      <c r="M94" s="193"/>
      <c r="N94" s="193"/>
      <c r="O94" s="193"/>
      <c r="P94" s="114"/>
    </row>
    <row r="95" spans="1:16" ht="12.75">
      <c r="A95" s="113"/>
      <c r="B95" s="113"/>
      <c r="C95" s="113"/>
      <c r="D95" s="113"/>
      <c r="E95" s="113"/>
      <c r="F95" s="115"/>
      <c r="G95" s="116"/>
      <c r="H95" s="117"/>
      <c r="I95" s="115"/>
      <c r="J95" s="116"/>
      <c r="K95" s="113"/>
      <c r="L95" s="115"/>
      <c r="M95" s="116"/>
      <c r="N95" s="113"/>
      <c r="O95" s="113"/>
      <c r="P95" s="114"/>
    </row>
    <row r="96" spans="1:16" ht="12.75">
      <c r="A96" s="113"/>
      <c r="B96" s="113"/>
      <c r="C96" s="113"/>
      <c r="D96" s="113"/>
      <c r="E96" s="113"/>
      <c r="F96" s="115"/>
      <c r="G96" s="116"/>
      <c r="H96" s="117"/>
      <c r="I96" s="115"/>
      <c r="J96" s="116"/>
      <c r="K96" s="113"/>
      <c r="L96" s="115"/>
      <c r="M96" s="116"/>
      <c r="N96" s="113"/>
      <c r="O96" s="113"/>
      <c r="P96" s="114"/>
    </row>
    <row r="97" spans="1:28" ht="12.75">
      <c r="A97" s="113"/>
      <c r="B97" s="113"/>
      <c r="C97" s="113"/>
      <c r="D97" s="113"/>
      <c r="E97" s="113"/>
      <c r="F97" s="115"/>
      <c r="G97" s="116"/>
      <c r="H97" s="117"/>
      <c r="I97" s="115"/>
      <c r="J97" s="116"/>
      <c r="K97" s="113"/>
      <c r="L97" s="115"/>
      <c r="M97" s="116"/>
      <c r="N97" s="113"/>
      <c r="O97" s="113"/>
      <c r="P97" s="114"/>
    </row>
    <row r="98" spans="1:28" ht="12.75">
      <c r="A98" s="113"/>
      <c r="B98" s="113"/>
      <c r="C98" s="113"/>
      <c r="D98" s="113"/>
      <c r="E98" s="113"/>
      <c r="F98" s="115"/>
      <c r="G98" s="116"/>
      <c r="H98" s="117"/>
      <c r="I98" s="115"/>
      <c r="J98" s="116"/>
      <c r="K98" s="113"/>
      <c r="L98" s="115"/>
      <c r="M98" s="116"/>
      <c r="N98" s="113"/>
      <c r="O98" s="113"/>
      <c r="P98" s="114"/>
    </row>
    <row r="99" spans="1:28" ht="12.75">
      <c r="A99" s="113"/>
      <c r="B99" s="113"/>
      <c r="C99" s="113"/>
      <c r="D99" s="113"/>
      <c r="E99" s="113"/>
      <c r="F99" s="115"/>
      <c r="G99" s="116"/>
      <c r="H99" s="117"/>
      <c r="I99" s="115"/>
      <c r="J99" s="116"/>
      <c r="K99" s="113"/>
      <c r="L99" s="115"/>
      <c r="M99" s="116"/>
      <c r="N99" s="113"/>
      <c r="O99" s="113"/>
      <c r="P99" s="113"/>
      <c r="Q99" s="49"/>
      <c r="R99" s="49"/>
      <c r="S99" s="49"/>
      <c r="T99" s="49"/>
      <c r="U99" s="49"/>
      <c r="V99" s="49"/>
      <c r="W99" s="49"/>
      <c r="X99" s="49"/>
      <c r="Y99" s="49"/>
      <c r="Z99" s="49"/>
      <c r="AA99" s="49"/>
      <c r="AB99" s="49"/>
    </row>
    <row r="100" spans="1:28" ht="12.75">
      <c r="A100" s="113"/>
      <c r="B100" s="113"/>
      <c r="C100" s="113"/>
      <c r="D100" s="113"/>
      <c r="E100" s="113"/>
      <c r="F100" s="115"/>
      <c r="G100" s="116"/>
      <c r="H100" s="117"/>
      <c r="I100" s="115"/>
      <c r="J100" s="116"/>
      <c r="K100" s="113"/>
      <c r="L100" s="115"/>
      <c r="M100" s="116"/>
      <c r="N100" s="113"/>
      <c r="O100" s="113"/>
      <c r="P100" s="113"/>
      <c r="Q100" s="49"/>
      <c r="R100" s="49"/>
      <c r="S100" s="49"/>
      <c r="T100" s="49"/>
      <c r="U100" s="49"/>
      <c r="V100" s="49"/>
      <c r="W100" s="49"/>
      <c r="X100" s="49"/>
      <c r="Y100" s="49"/>
      <c r="Z100" s="49"/>
      <c r="AA100" s="49"/>
      <c r="AB100" s="49"/>
    </row>
    <row r="101" spans="1:28" ht="12.75">
      <c r="A101" s="192"/>
      <c r="B101" s="193"/>
      <c r="C101" s="193"/>
      <c r="D101" s="193"/>
      <c r="E101" s="193"/>
      <c r="F101" s="193"/>
      <c r="G101" s="193"/>
      <c r="H101" s="193"/>
      <c r="I101" s="193"/>
      <c r="J101" s="193"/>
      <c r="K101" s="193"/>
      <c r="L101" s="193"/>
      <c r="M101" s="193"/>
      <c r="N101" s="193"/>
      <c r="O101" s="193"/>
      <c r="P101" s="113"/>
      <c r="Q101" s="49"/>
      <c r="R101" s="49"/>
      <c r="S101" s="49"/>
      <c r="T101" s="49"/>
      <c r="U101" s="49"/>
      <c r="V101" s="49"/>
      <c r="W101" s="49"/>
      <c r="X101" s="49"/>
      <c r="Y101" s="49"/>
      <c r="Z101" s="49"/>
      <c r="AA101" s="49"/>
      <c r="AB101" s="49"/>
    </row>
    <row r="102" spans="1:28" ht="12.75">
      <c r="A102" s="113"/>
      <c r="B102" s="113"/>
      <c r="C102" s="113"/>
      <c r="D102" s="113"/>
      <c r="E102" s="113"/>
      <c r="F102" s="115"/>
      <c r="G102" s="116"/>
      <c r="H102" s="117"/>
      <c r="I102" s="115"/>
      <c r="J102" s="116"/>
      <c r="K102" s="113"/>
      <c r="L102" s="115"/>
      <c r="M102" s="116"/>
      <c r="N102" s="113"/>
      <c r="O102" s="113"/>
      <c r="P102" s="113"/>
      <c r="Q102" s="49"/>
      <c r="R102" s="49"/>
      <c r="S102" s="49"/>
      <c r="T102" s="49"/>
      <c r="U102" s="49"/>
      <c r="V102" s="49"/>
      <c r="W102" s="49"/>
      <c r="X102" s="49"/>
      <c r="Y102" s="49"/>
      <c r="Z102" s="49"/>
      <c r="AA102" s="49"/>
      <c r="AB102" s="49"/>
    </row>
    <row r="103" spans="1:28" ht="12.75">
      <c r="A103" s="113"/>
      <c r="B103" s="113"/>
      <c r="C103" s="113"/>
      <c r="D103" s="113"/>
      <c r="E103" s="113"/>
      <c r="F103" s="115"/>
      <c r="G103" s="116"/>
      <c r="H103" s="117"/>
      <c r="I103" s="115"/>
      <c r="J103" s="116"/>
      <c r="K103" s="113"/>
      <c r="L103" s="115"/>
      <c r="M103" s="116"/>
      <c r="N103" s="113"/>
      <c r="O103" s="113"/>
      <c r="P103" s="113"/>
      <c r="Q103" s="49"/>
      <c r="R103" s="49"/>
      <c r="S103" s="49"/>
      <c r="T103" s="49"/>
      <c r="U103" s="49"/>
      <c r="V103" s="49"/>
      <c r="W103" s="49"/>
      <c r="X103" s="49"/>
      <c r="Y103" s="49"/>
      <c r="Z103" s="49"/>
      <c r="AA103" s="49"/>
      <c r="AB103" s="49"/>
    </row>
    <row r="104" spans="1:28" ht="12.75">
      <c r="A104" s="113"/>
      <c r="B104" s="113"/>
      <c r="C104" s="113"/>
      <c r="D104" s="113"/>
      <c r="E104" s="113"/>
      <c r="F104" s="115"/>
      <c r="G104" s="116"/>
      <c r="H104" s="117"/>
      <c r="I104" s="115"/>
      <c r="J104" s="116"/>
      <c r="K104" s="113"/>
      <c r="L104" s="115"/>
      <c r="M104" s="116"/>
      <c r="N104" s="113"/>
      <c r="O104" s="113"/>
      <c r="P104" s="114"/>
    </row>
    <row r="105" spans="1:28" ht="12.75">
      <c r="A105" s="113"/>
      <c r="B105" s="113"/>
      <c r="C105" s="113"/>
      <c r="D105" s="113"/>
      <c r="E105" s="113"/>
      <c r="F105" s="115"/>
      <c r="G105" s="116"/>
      <c r="H105" s="117"/>
      <c r="I105" s="115"/>
      <c r="J105" s="116"/>
      <c r="K105" s="113"/>
      <c r="L105" s="115"/>
      <c r="M105" s="116"/>
      <c r="N105" s="113"/>
      <c r="O105" s="113"/>
      <c r="P105" s="113"/>
      <c r="Q105" s="49"/>
      <c r="R105" s="49"/>
      <c r="S105" s="49"/>
      <c r="T105" s="49"/>
      <c r="U105" s="49"/>
      <c r="V105" s="49"/>
      <c r="W105" s="49"/>
      <c r="X105" s="49"/>
      <c r="Y105" s="49"/>
      <c r="Z105" s="49"/>
      <c r="AA105" s="49"/>
      <c r="AB105" s="49"/>
    </row>
    <row r="106" spans="1:28" ht="12.75">
      <c r="A106" s="113"/>
      <c r="B106" s="113"/>
      <c r="C106" s="113"/>
      <c r="D106" s="113"/>
      <c r="E106" s="113"/>
      <c r="F106" s="115"/>
      <c r="G106" s="116"/>
      <c r="H106" s="117"/>
      <c r="I106" s="115"/>
      <c r="J106" s="116"/>
      <c r="K106" s="113"/>
      <c r="L106" s="115"/>
      <c r="M106" s="116"/>
      <c r="N106" s="113"/>
      <c r="O106" s="113"/>
      <c r="P106" s="113"/>
      <c r="Q106" s="49"/>
      <c r="R106" s="49"/>
      <c r="S106" s="49"/>
      <c r="T106" s="49"/>
      <c r="U106" s="49"/>
      <c r="V106" s="49"/>
      <c r="W106" s="49"/>
      <c r="X106" s="49"/>
      <c r="Y106" s="49"/>
      <c r="Z106" s="49"/>
      <c r="AA106" s="49"/>
      <c r="AB106" s="49"/>
    </row>
    <row r="107" spans="1:28" ht="12.75">
      <c r="A107" s="192"/>
      <c r="B107" s="193"/>
      <c r="C107" s="193"/>
      <c r="D107" s="193"/>
      <c r="E107" s="193"/>
      <c r="F107" s="193"/>
      <c r="G107" s="193"/>
      <c r="H107" s="193"/>
      <c r="I107" s="193"/>
      <c r="J107" s="193"/>
      <c r="K107" s="193"/>
      <c r="L107" s="193"/>
      <c r="M107" s="193"/>
      <c r="N107" s="193"/>
      <c r="O107" s="193"/>
      <c r="P107" s="113"/>
      <c r="Q107" s="49"/>
      <c r="R107" s="49"/>
      <c r="S107" s="49"/>
      <c r="T107" s="49"/>
      <c r="U107" s="49"/>
      <c r="V107" s="49"/>
      <c r="W107" s="49"/>
      <c r="X107" s="49"/>
      <c r="Y107" s="49"/>
      <c r="Z107" s="49"/>
      <c r="AA107" s="49"/>
      <c r="AB107" s="49"/>
    </row>
    <row r="108" spans="1:28" ht="12.75">
      <c r="A108" s="113"/>
      <c r="B108" s="113"/>
      <c r="C108" s="113"/>
      <c r="D108" s="113"/>
      <c r="E108" s="113"/>
      <c r="F108" s="115"/>
      <c r="G108" s="116"/>
      <c r="H108" s="117"/>
      <c r="I108" s="115"/>
      <c r="J108" s="116"/>
      <c r="K108" s="113"/>
      <c r="L108" s="115"/>
      <c r="M108" s="116"/>
      <c r="N108" s="113"/>
      <c r="O108" s="113"/>
      <c r="P108" s="113"/>
      <c r="Q108" s="49"/>
      <c r="R108" s="49"/>
      <c r="S108" s="49"/>
      <c r="T108" s="49"/>
      <c r="U108" s="49"/>
      <c r="V108" s="49"/>
      <c r="W108" s="49"/>
      <c r="X108" s="49"/>
      <c r="Y108" s="49"/>
      <c r="Z108" s="49"/>
      <c r="AA108" s="49"/>
      <c r="AB108" s="49"/>
    </row>
    <row r="109" spans="1:28" ht="12.75">
      <c r="A109" s="113"/>
      <c r="B109" s="113"/>
      <c r="C109" s="113"/>
      <c r="D109" s="113"/>
      <c r="E109" s="113"/>
      <c r="F109" s="115"/>
      <c r="G109" s="116"/>
      <c r="H109" s="117"/>
      <c r="I109" s="115"/>
      <c r="J109" s="116"/>
      <c r="K109" s="113"/>
      <c r="L109" s="115"/>
      <c r="M109" s="116"/>
      <c r="N109" s="113"/>
      <c r="O109" s="113"/>
      <c r="P109" s="113"/>
      <c r="Q109" s="49"/>
      <c r="R109" s="49"/>
      <c r="S109" s="49"/>
      <c r="T109" s="49"/>
      <c r="U109" s="49"/>
      <c r="V109" s="49"/>
      <c r="W109" s="49"/>
      <c r="X109" s="49"/>
      <c r="Y109" s="49"/>
      <c r="Z109" s="49"/>
      <c r="AA109" s="49"/>
      <c r="AB109" s="49"/>
    </row>
    <row r="110" spans="1:28" ht="12.75">
      <c r="A110" s="113"/>
      <c r="B110" s="113"/>
      <c r="C110" s="113"/>
      <c r="D110" s="113"/>
      <c r="E110" s="113"/>
      <c r="F110" s="115"/>
      <c r="G110" s="116"/>
      <c r="H110" s="117"/>
      <c r="I110" s="115"/>
      <c r="J110" s="116"/>
      <c r="K110" s="113"/>
      <c r="L110" s="115"/>
      <c r="M110" s="116"/>
      <c r="N110" s="113"/>
      <c r="O110" s="113"/>
      <c r="P110" s="113"/>
      <c r="Q110" s="49"/>
      <c r="R110" s="49"/>
      <c r="S110" s="49"/>
      <c r="T110" s="49"/>
      <c r="U110" s="49"/>
      <c r="V110" s="49"/>
      <c r="W110" s="49"/>
      <c r="X110" s="49"/>
      <c r="Y110" s="49"/>
      <c r="Z110" s="49"/>
      <c r="AA110" s="49"/>
      <c r="AB110" s="49"/>
    </row>
    <row r="111" spans="1:28" ht="12.75">
      <c r="A111" s="113"/>
      <c r="B111" s="113"/>
      <c r="C111" s="113"/>
      <c r="D111" s="113"/>
      <c r="E111" s="113"/>
      <c r="F111" s="115"/>
      <c r="G111" s="116"/>
      <c r="H111" s="117"/>
      <c r="I111" s="115"/>
      <c r="J111" s="116"/>
      <c r="K111" s="113"/>
      <c r="L111" s="115"/>
      <c r="M111" s="116"/>
      <c r="N111" s="113"/>
      <c r="O111" s="113"/>
      <c r="P111" s="114"/>
    </row>
    <row r="112" spans="1:28" ht="12.75">
      <c r="A112" s="113"/>
      <c r="B112" s="113"/>
      <c r="C112" s="113"/>
      <c r="D112" s="113"/>
      <c r="E112" s="113"/>
      <c r="F112" s="115"/>
      <c r="G112" s="116"/>
      <c r="H112" s="117"/>
      <c r="I112" s="115"/>
      <c r="J112" s="116"/>
      <c r="K112" s="113"/>
      <c r="L112" s="115"/>
      <c r="M112" s="116"/>
      <c r="N112" s="113"/>
      <c r="O112" s="113"/>
      <c r="P112" s="113"/>
      <c r="Q112" s="49"/>
      <c r="R112" s="49"/>
      <c r="S112" s="49"/>
      <c r="T112" s="49"/>
      <c r="U112" s="49"/>
      <c r="V112" s="49"/>
      <c r="W112" s="49"/>
      <c r="X112" s="49"/>
      <c r="Y112" s="49"/>
      <c r="Z112" s="49"/>
      <c r="AA112" s="49"/>
      <c r="AB112" s="49"/>
    </row>
    <row r="113" spans="1:28" ht="12.75">
      <c r="P113" s="49"/>
      <c r="Q113" s="49"/>
      <c r="R113" s="49"/>
      <c r="S113" s="49"/>
      <c r="T113" s="49"/>
      <c r="U113" s="49"/>
      <c r="V113" s="49"/>
      <c r="W113" s="49"/>
      <c r="X113" s="49"/>
      <c r="Y113" s="49"/>
      <c r="Z113" s="49"/>
      <c r="AA113" s="49"/>
      <c r="AB113" s="49"/>
    </row>
    <row r="114" spans="1:28" ht="12.75">
      <c r="A114" s="50"/>
      <c r="B114" s="50"/>
      <c r="C114" s="50"/>
      <c r="D114" s="50"/>
      <c r="P114" s="49"/>
      <c r="Q114" s="49"/>
      <c r="R114" s="49"/>
      <c r="S114" s="49"/>
      <c r="T114" s="49"/>
      <c r="U114" s="49"/>
      <c r="V114" s="49"/>
      <c r="W114" s="49"/>
      <c r="X114" s="49"/>
      <c r="Y114" s="49"/>
      <c r="Z114" s="49"/>
      <c r="AA114" s="49"/>
      <c r="AB114" s="49"/>
    </row>
    <row r="115" spans="1:28" ht="12.75">
      <c r="A115" s="50"/>
      <c r="B115" s="50"/>
      <c r="C115" s="50"/>
      <c r="D115" s="50"/>
      <c r="P115" s="49"/>
      <c r="Q115" s="49"/>
      <c r="R115" s="49"/>
      <c r="S115" s="49"/>
      <c r="T115" s="49"/>
      <c r="U115" s="49"/>
      <c r="V115" s="49"/>
      <c r="W115" s="49"/>
      <c r="X115" s="49"/>
      <c r="Y115" s="49"/>
      <c r="Z115" s="49"/>
      <c r="AA115" s="49"/>
      <c r="AB115" s="49"/>
    </row>
    <row r="116" spans="1:28" ht="12.75">
      <c r="A116" s="50"/>
      <c r="B116" s="50"/>
      <c r="C116" s="50"/>
      <c r="D116" s="50"/>
      <c r="P116" s="49"/>
      <c r="Q116" s="49"/>
      <c r="R116" s="49"/>
      <c r="S116" s="49"/>
      <c r="T116" s="49"/>
      <c r="U116" s="49"/>
      <c r="V116" s="49"/>
      <c r="W116" s="49"/>
      <c r="X116" s="49"/>
      <c r="Y116" s="49"/>
      <c r="Z116" s="49"/>
      <c r="AA116" s="49"/>
      <c r="AB116" s="49"/>
    </row>
    <row r="117" spans="1:28" ht="12.75">
      <c r="A117" s="50"/>
      <c r="B117" s="50"/>
      <c r="C117" s="50"/>
      <c r="D117" s="50"/>
    </row>
    <row r="118" spans="1:28" ht="12.75">
      <c r="A118" s="50"/>
      <c r="B118" s="50"/>
      <c r="C118" s="50"/>
      <c r="D118" s="50"/>
      <c r="P118" s="49"/>
      <c r="Q118" s="49"/>
      <c r="R118" s="49"/>
      <c r="S118" s="49"/>
      <c r="T118" s="49"/>
      <c r="U118" s="49"/>
      <c r="V118" s="49"/>
      <c r="W118" s="49"/>
      <c r="X118" s="49"/>
      <c r="Y118" s="49"/>
      <c r="Z118" s="49"/>
      <c r="AA118" s="49"/>
      <c r="AB118" s="49"/>
    </row>
    <row r="119" spans="1:28" ht="12.75">
      <c r="A119" s="50"/>
      <c r="B119" s="50"/>
      <c r="C119" s="50"/>
      <c r="D119" s="50"/>
      <c r="P119" s="49"/>
      <c r="Q119" s="49"/>
      <c r="R119" s="49"/>
      <c r="S119" s="49"/>
      <c r="T119" s="49"/>
      <c r="U119" s="49"/>
      <c r="V119" s="49"/>
      <c r="W119" s="49"/>
      <c r="X119" s="49"/>
      <c r="Y119" s="49"/>
      <c r="Z119" s="49"/>
      <c r="AA119" s="49"/>
      <c r="AB119" s="49"/>
    </row>
    <row r="120" spans="1:28" ht="12.75">
      <c r="A120" s="50"/>
      <c r="B120" s="50"/>
      <c r="C120" s="51"/>
      <c r="D120" s="50"/>
      <c r="P120" s="49"/>
      <c r="Q120" s="49"/>
      <c r="R120" s="49"/>
      <c r="S120" s="49"/>
      <c r="T120" s="49"/>
      <c r="U120" s="49"/>
      <c r="V120" s="49"/>
      <c r="W120" s="49"/>
      <c r="X120" s="49"/>
      <c r="Y120" s="49"/>
      <c r="Z120" s="49"/>
      <c r="AA120" s="49"/>
      <c r="AB120" s="49"/>
    </row>
    <row r="121" spans="1:28" ht="12.75">
      <c r="A121" s="50"/>
      <c r="B121" s="50"/>
      <c r="C121" s="51"/>
      <c r="D121" s="50"/>
      <c r="P121" s="49"/>
      <c r="Q121" s="49"/>
      <c r="R121" s="49"/>
      <c r="S121" s="49"/>
      <c r="T121" s="49"/>
      <c r="U121" s="49"/>
      <c r="V121" s="49"/>
      <c r="W121" s="49"/>
      <c r="X121" s="49"/>
      <c r="Y121" s="49"/>
      <c r="Z121" s="49"/>
      <c r="AA121" s="49"/>
      <c r="AB121" s="49"/>
    </row>
    <row r="122" spans="1:28" ht="12.75">
      <c r="A122" s="50"/>
      <c r="B122" s="50"/>
      <c r="C122" s="51"/>
      <c r="D122" s="50"/>
      <c r="P122" s="49"/>
      <c r="Q122" s="49"/>
      <c r="R122" s="49"/>
      <c r="S122" s="49"/>
      <c r="T122" s="49"/>
      <c r="U122" s="49"/>
      <c r="V122" s="49"/>
      <c r="W122" s="49"/>
      <c r="X122" s="49"/>
      <c r="Y122" s="49"/>
      <c r="Z122" s="49"/>
      <c r="AA122" s="49"/>
      <c r="AB122" s="49"/>
    </row>
    <row r="123" spans="1:28" ht="12.75">
      <c r="A123" s="50"/>
      <c r="B123" s="50"/>
      <c r="C123" s="51"/>
      <c r="D123" s="50"/>
    </row>
    <row r="124" spans="1:28" ht="12.75">
      <c r="A124" s="50"/>
      <c r="B124" s="50"/>
      <c r="C124" s="51"/>
      <c r="D124" s="50"/>
    </row>
    <row r="125" spans="1:28" ht="12.75">
      <c r="A125" s="50"/>
      <c r="B125" s="50"/>
      <c r="C125" s="51"/>
      <c r="D125" s="50"/>
    </row>
    <row r="126" spans="1:28" ht="12.75">
      <c r="A126" s="50"/>
      <c r="B126" s="50"/>
      <c r="C126" s="51"/>
      <c r="D126" s="50"/>
    </row>
    <row r="127" spans="1:28" ht="12.75">
      <c r="A127" s="50"/>
      <c r="B127" s="50"/>
      <c r="C127" s="51"/>
      <c r="D127" s="50"/>
    </row>
    <row r="128" spans="1:28" ht="12.75">
      <c r="A128" s="50"/>
      <c r="B128" s="50"/>
      <c r="C128" s="51"/>
      <c r="D128" s="50"/>
    </row>
    <row r="129" spans="1:4" ht="12.75">
      <c r="A129" s="50"/>
      <c r="B129" s="50"/>
      <c r="C129" s="51"/>
      <c r="D129" s="50"/>
    </row>
  </sheetData>
  <mergeCells count="22">
    <mergeCell ref="A82:O82"/>
    <mergeCell ref="A88:O88"/>
    <mergeCell ref="A94:O94"/>
    <mergeCell ref="A101:O101"/>
    <mergeCell ref="A107:O107"/>
    <mergeCell ref="B20:P20"/>
    <mergeCell ref="B24:P24"/>
    <mergeCell ref="A64:O64"/>
    <mergeCell ref="A70:O70"/>
    <mergeCell ref="A76:O76"/>
    <mergeCell ref="B30:P30"/>
    <mergeCell ref="B34:P34"/>
    <mergeCell ref="B38:P38"/>
    <mergeCell ref="B42:P42"/>
    <mergeCell ref="A46:O46"/>
    <mergeCell ref="A52:O52"/>
    <mergeCell ref="A58:O58"/>
    <mergeCell ref="B2:E2"/>
    <mergeCell ref="B3:E3"/>
    <mergeCell ref="B4:E4"/>
    <mergeCell ref="A11:O11"/>
    <mergeCell ref="B16:P16"/>
  </mergeCells>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67"/>
  <sheetViews>
    <sheetView topLeftCell="A57" zoomScale="85" zoomScaleNormal="85" workbookViewId="0">
      <selection activeCell="E71" sqref="E71"/>
    </sheetView>
  </sheetViews>
  <sheetFormatPr defaultColWidth="12.5703125" defaultRowHeight="15.75" customHeight="1"/>
  <cols>
    <col min="2" max="2" width="14.7109375" customWidth="1"/>
    <col min="3" max="3" width="17.7109375" customWidth="1"/>
    <col min="4" max="4" width="17.28515625" customWidth="1"/>
    <col min="5" max="5" width="14.42578125" customWidth="1"/>
  </cols>
  <sheetData>
    <row r="1" spans="1:16" ht="14.25">
      <c r="A1" s="10"/>
      <c r="B1" s="46"/>
      <c r="C1" s="46"/>
      <c r="D1" s="46"/>
      <c r="E1" s="46"/>
      <c r="F1" s="10"/>
      <c r="G1" s="10"/>
      <c r="H1" s="10"/>
      <c r="I1" s="10"/>
      <c r="J1" s="10"/>
      <c r="K1" s="10"/>
      <c r="L1" s="10"/>
      <c r="M1" s="10"/>
      <c r="N1" s="10"/>
      <c r="O1" s="10"/>
      <c r="P1" s="10"/>
    </row>
    <row r="2" spans="1:16" ht="14.25">
      <c r="A2" s="120" t="s">
        <v>46</v>
      </c>
      <c r="B2" s="160" t="s">
        <v>570</v>
      </c>
      <c r="C2" s="161"/>
      <c r="D2" s="161"/>
      <c r="E2" s="161"/>
      <c r="F2" s="13"/>
      <c r="G2" s="10"/>
      <c r="H2" s="10"/>
      <c r="I2" s="10"/>
      <c r="J2" s="10"/>
      <c r="K2" s="10"/>
      <c r="L2" s="10"/>
      <c r="M2" s="10"/>
      <c r="N2" s="10"/>
      <c r="O2" s="10"/>
      <c r="P2" s="10"/>
    </row>
    <row r="3" spans="1:16" ht="30.75" customHeight="1">
      <c r="A3" s="120" t="s">
        <v>47</v>
      </c>
      <c r="B3" s="162" t="s">
        <v>571</v>
      </c>
      <c r="C3" s="160"/>
      <c r="D3" s="160"/>
      <c r="E3" s="160"/>
      <c r="F3" s="13"/>
      <c r="G3" s="10"/>
      <c r="H3" s="10"/>
      <c r="I3" s="10"/>
      <c r="J3" s="10"/>
      <c r="K3" s="10"/>
      <c r="L3" s="10"/>
      <c r="M3" s="10"/>
      <c r="N3" s="10"/>
      <c r="O3" s="10"/>
      <c r="P3" s="10"/>
    </row>
    <row r="4" spans="1:16" ht="25.5">
      <c r="A4" s="120" t="s">
        <v>48</v>
      </c>
      <c r="B4" s="160">
        <v>57</v>
      </c>
      <c r="C4" s="160"/>
      <c r="D4" s="160"/>
      <c r="E4" s="160"/>
      <c r="F4" s="13"/>
      <c r="G4" s="10"/>
      <c r="H4" s="10"/>
      <c r="I4" s="10"/>
      <c r="J4" s="10"/>
      <c r="K4" s="10"/>
      <c r="L4" s="10"/>
      <c r="M4" s="10"/>
      <c r="N4" s="10"/>
      <c r="O4" s="10"/>
      <c r="P4" s="10"/>
    </row>
    <row r="5" spans="1:16" ht="25.5">
      <c r="A5" s="122" t="s">
        <v>49</v>
      </c>
      <c r="B5" s="122" t="s">
        <v>36</v>
      </c>
      <c r="C5" s="122" t="s">
        <v>37</v>
      </c>
      <c r="D5" s="122" t="s">
        <v>38</v>
      </c>
      <c r="E5" s="122" t="s">
        <v>39</v>
      </c>
      <c r="F5" s="13"/>
      <c r="G5" s="10"/>
      <c r="H5" s="10"/>
      <c r="I5" s="10"/>
      <c r="J5" s="10"/>
      <c r="K5" s="10"/>
      <c r="L5" s="10"/>
      <c r="M5" s="10"/>
      <c r="N5" s="10"/>
      <c r="O5" s="10"/>
      <c r="P5" s="10"/>
    </row>
    <row r="6" spans="1:16" ht="14.25">
      <c r="A6" s="122" t="s">
        <v>50</v>
      </c>
      <c r="B6" s="123">
        <v>57</v>
      </c>
      <c r="C6" s="123">
        <f>COUNTIF(F:F, C5)</f>
        <v>0</v>
      </c>
      <c r="D6" s="123">
        <f>COUNTIF(F:F, D5)</f>
        <v>0</v>
      </c>
      <c r="E6" s="124">
        <v>0</v>
      </c>
      <c r="F6" s="10"/>
      <c r="G6" s="10"/>
      <c r="H6" s="10"/>
      <c r="I6" s="10"/>
      <c r="J6" s="10"/>
      <c r="K6" s="10"/>
      <c r="L6" s="10"/>
      <c r="M6" s="10"/>
      <c r="N6" s="10"/>
      <c r="O6" s="10"/>
      <c r="P6" s="10"/>
    </row>
    <row r="7" spans="1:16" ht="14.25">
      <c r="A7" s="122" t="s">
        <v>51</v>
      </c>
      <c r="B7" s="123">
        <v>57</v>
      </c>
      <c r="C7" s="123">
        <f>COUNTIF(I:I, C5)</f>
        <v>0</v>
      </c>
      <c r="D7" s="123">
        <f>COUNTIF(I:I, D5)</f>
        <v>0</v>
      </c>
      <c r="E7" s="124">
        <v>0</v>
      </c>
      <c r="F7" s="10"/>
      <c r="G7" s="10"/>
      <c r="H7" s="10"/>
      <c r="I7" s="10"/>
      <c r="J7" s="10"/>
      <c r="K7" s="10"/>
      <c r="L7" s="10"/>
      <c r="M7" s="10"/>
      <c r="N7" s="10"/>
      <c r="O7" s="10"/>
      <c r="P7" s="10"/>
    </row>
    <row r="8" spans="1:16" ht="14.25">
      <c r="A8" s="122" t="s">
        <v>52</v>
      </c>
      <c r="B8" s="123">
        <v>57</v>
      </c>
      <c r="C8" s="123">
        <f>COUNTIF(L:L, C5)</f>
        <v>0</v>
      </c>
      <c r="D8" s="123">
        <f>COUNTIF(L:L, D5)</f>
        <v>0</v>
      </c>
      <c r="E8" s="124">
        <v>0</v>
      </c>
      <c r="F8" s="10"/>
      <c r="G8" s="10"/>
      <c r="H8" s="10"/>
      <c r="I8" s="10"/>
      <c r="J8" s="10"/>
      <c r="K8" s="10"/>
      <c r="L8" s="10"/>
      <c r="M8" s="10"/>
      <c r="N8" s="10"/>
      <c r="O8" s="10"/>
      <c r="P8" s="10"/>
    </row>
    <row r="9" spans="1:16" ht="14.25">
      <c r="A9" s="10"/>
      <c r="B9" s="10"/>
      <c r="C9" s="10"/>
      <c r="D9" s="10"/>
      <c r="E9" s="10"/>
      <c r="F9" s="10"/>
      <c r="G9" s="10"/>
      <c r="H9" s="10"/>
      <c r="I9" s="10"/>
      <c r="J9" s="10"/>
      <c r="K9" s="10"/>
      <c r="L9" s="10"/>
      <c r="M9" s="10"/>
      <c r="N9" s="10"/>
      <c r="O9" s="10"/>
      <c r="P9" s="10"/>
    </row>
    <row r="10" spans="1:16" ht="25.5">
      <c r="A10" s="52" t="s">
        <v>53</v>
      </c>
      <c r="B10" s="52" t="s">
        <v>54</v>
      </c>
      <c r="C10" s="52" t="s">
        <v>55</v>
      </c>
      <c r="D10" s="52" t="s">
        <v>56</v>
      </c>
      <c r="E10" s="52" t="s">
        <v>57</v>
      </c>
      <c r="F10" s="52" t="s">
        <v>50</v>
      </c>
      <c r="G10" s="52" t="s">
        <v>58</v>
      </c>
      <c r="H10" s="52" t="s">
        <v>59</v>
      </c>
      <c r="I10" s="52" t="s">
        <v>51</v>
      </c>
      <c r="J10" s="52" t="s">
        <v>58</v>
      </c>
      <c r="K10" s="52" t="s">
        <v>59</v>
      </c>
      <c r="L10" s="52" t="s">
        <v>52</v>
      </c>
      <c r="M10" s="52" t="s">
        <v>58</v>
      </c>
      <c r="N10" s="52" t="s">
        <v>59</v>
      </c>
      <c r="O10" s="52" t="s">
        <v>60</v>
      </c>
      <c r="P10" s="10"/>
    </row>
    <row r="11" spans="1:16" ht="14.25">
      <c r="A11" s="200" t="s">
        <v>572</v>
      </c>
      <c r="B11" s="198"/>
      <c r="C11" s="198"/>
      <c r="D11" s="198"/>
      <c r="E11" s="198"/>
      <c r="F11" s="198"/>
      <c r="G11" s="198"/>
      <c r="H11" s="198"/>
      <c r="I11" s="198"/>
      <c r="J11" s="198"/>
      <c r="K11" s="198"/>
      <c r="L11" s="198"/>
      <c r="M11" s="198"/>
      <c r="N11" s="198"/>
      <c r="O11" s="199"/>
      <c r="P11" s="10"/>
    </row>
    <row r="12" spans="1:16" ht="77.25" customHeight="1">
      <c r="A12" s="80" t="s">
        <v>573</v>
      </c>
      <c r="B12" s="80" t="s">
        <v>574</v>
      </c>
      <c r="C12" s="80" t="s">
        <v>575</v>
      </c>
      <c r="D12" s="80" t="s">
        <v>576</v>
      </c>
      <c r="E12" s="80" t="s">
        <v>577</v>
      </c>
      <c r="F12" s="80" t="s">
        <v>36</v>
      </c>
      <c r="G12" s="89">
        <v>46175</v>
      </c>
      <c r="H12" s="80" t="s">
        <v>377</v>
      </c>
      <c r="I12" s="80" t="s">
        <v>36</v>
      </c>
      <c r="J12" s="89">
        <v>46179</v>
      </c>
      <c r="K12" s="80" t="s">
        <v>377</v>
      </c>
      <c r="L12" s="80" t="s">
        <v>36</v>
      </c>
      <c r="M12" s="89">
        <v>46185</v>
      </c>
      <c r="N12" s="80" t="s">
        <v>377</v>
      </c>
      <c r="O12" s="80" t="s">
        <v>578</v>
      </c>
      <c r="P12" s="48"/>
    </row>
    <row r="13" spans="1:16" ht="71.25">
      <c r="A13" s="80" t="s">
        <v>579</v>
      </c>
      <c r="B13" s="80" t="s">
        <v>580</v>
      </c>
      <c r="C13" s="80" t="s">
        <v>581</v>
      </c>
      <c r="D13" s="80" t="s">
        <v>582</v>
      </c>
      <c r="E13" s="80" t="s">
        <v>583</v>
      </c>
      <c r="F13" s="80" t="s">
        <v>36</v>
      </c>
      <c r="G13" s="89">
        <v>46175</v>
      </c>
      <c r="H13" s="80" t="s">
        <v>377</v>
      </c>
      <c r="I13" s="80" t="s">
        <v>36</v>
      </c>
      <c r="J13" s="89">
        <v>46179</v>
      </c>
      <c r="K13" s="80" t="s">
        <v>377</v>
      </c>
      <c r="L13" s="80" t="s">
        <v>36</v>
      </c>
      <c r="M13" s="89">
        <v>46185</v>
      </c>
      <c r="N13" s="80" t="s">
        <v>377</v>
      </c>
      <c r="O13" s="80" t="s">
        <v>584</v>
      </c>
      <c r="P13" s="10"/>
    </row>
    <row r="14" spans="1:16" ht="71.25">
      <c r="A14" s="80" t="s">
        <v>585</v>
      </c>
      <c r="B14" s="80" t="s">
        <v>586</v>
      </c>
      <c r="C14" s="80" t="s">
        <v>587</v>
      </c>
      <c r="D14" s="80" t="s">
        <v>588</v>
      </c>
      <c r="E14" s="80" t="s">
        <v>589</v>
      </c>
      <c r="F14" s="80" t="s">
        <v>36</v>
      </c>
      <c r="G14" s="89">
        <v>46175</v>
      </c>
      <c r="H14" s="80" t="s">
        <v>377</v>
      </c>
      <c r="I14" s="80" t="s">
        <v>36</v>
      </c>
      <c r="J14" s="89">
        <v>46179</v>
      </c>
      <c r="K14" s="80" t="s">
        <v>377</v>
      </c>
      <c r="L14" s="80" t="s">
        <v>36</v>
      </c>
      <c r="M14" s="89">
        <v>46185</v>
      </c>
      <c r="N14" s="80" t="s">
        <v>377</v>
      </c>
      <c r="O14" s="80" t="s">
        <v>590</v>
      </c>
      <c r="P14" s="46"/>
    </row>
    <row r="15" spans="1:16" ht="14.25">
      <c r="A15" s="197" t="s">
        <v>591</v>
      </c>
      <c r="B15" s="198"/>
      <c r="C15" s="198"/>
      <c r="D15" s="198"/>
      <c r="E15" s="198"/>
      <c r="F15" s="198"/>
      <c r="G15" s="198"/>
      <c r="H15" s="198"/>
      <c r="I15" s="198"/>
      <c r="J15" s="198"/>
      <c r="K15" s="198"/>
      <c r="L15" s="198"/>
      <c r="M15" s="198"/>
      <c r="N15" s="198"/>
      <c r="O15" s="199"/>
      <c r="P15" s="10"/>
    </row>
    <row r="16" spans="1:16" ht="81" customHeight="1">
      <c r="A16" s="80" t="s">
        <v>592</v>
      </c>
      <c r="B16" s="80" t="s">
        <v>593</v>
      </c>
      <c r="C16" s="80" t="s">
        <v>594</v>
      </c>
      <c r="D16" s="80" t="s">
        <v>595</v>
      </c>
      <c r="E16" s="80" t="s">
        <v>596</v>
      </c>
      <c r="F16" s="80" t="s">
        <v>36</v>
      </c>
      <c r="G16" s="89">
        <v>46175</v>
      </c>
      <c r="H16" s="80" t="s">
        <v>377</v>
      </c>
      <c r="I16" s="80" t="s">
        <v>36</v>
      </c>
      <c r="J16" s="89">
        <v>46179</v>
      </c>
      <c r="K16" s="80" t="s">
        <v>377</v>
      </c>
      <c r="L16" s="80" t="s">
        <v>36</v>
      </c>
      <c r="M16" s="89">
        <v>46185</v>
      </c>
      <c r="N16" s="80" t="s">
        <v>377</v>
      </c>
      <c r="O16" s="80" t="s">
        <v>597</v>
      </c>
    </row>
    <row r="17" spans="1:15" ht="85.5">
      <c r="A17" s="80" t="s">
        <v>598</v>
      </c>
      <c r="B17" s="80" t="s">
        <v>599</v>
      </c>
      <c r="C17" s="80" t="s">
        <v>600</v>
      </c>
      <c r="D17" s="80" t="s">
        <v>601</v>
      </c>
      <c r="E17" s="80" t="s">
        <v>602</v>
      </c>
      <c r="F17" s="80" t="s">
        <v>36</v>
      </c>
      <c r="G17" s="89">
        <v>46175</v>
      </c>
      <c r="H17" s="80" t="s">
        <v>377</v>
      </c>
      <c r="I17" s="80" t="s">
        <v>36</v>
      </c>
      <c r="J17" s="89">
        <v>46179</v>
      </c>
      <c r="K17" s="80" t="s">
        <v>377</v>
      </c>
      <c r="L17" s="80" t="s">
        <v>36</v>
      </c>
      <c r="M17" s="89">
        <v>46185</v>
      </c>
      <c r="N17" s="80" t="s">
        <v>377</v>
      </c>
      <c r="O17" s="80" t="s">
        <v>603</v>
      </c>
    </row>
    <row r="18" spans="1:15" ht="71.25">
      <c r="A18" s="80" t="s">
        <v>604</v>
      </c>
      <c r="B18" s="80" t="s">
        <v>605</v>
      </c>
      <c r="C18" s="80" t="s">
        <v>606</v>
      </c>
      <c r="D18" s="80" t="s">
        <v>607</v>
      </c>
      <c r="E18" s="80" t="s">
        <v>499</v>
      </c>
      <c r="F18" s="80" t="s">
        <v>36</v>
      </c>
      <c r="G18" s="89">
        <v>46175</v>
      </c>
      <c r="H18" s="80" t="s">
        <v>377</v>
      </c>
      <c r="I18" s="80" t="s">
        <v>36</v>
      </c>
      <c r="J18" s="89">
        <v>46179</v>
      </c>
      <c r="K18" s="80" t="s">
        <v>377</v>
      </c>
      <c r="L18" s="80" t="s">
        <v>36</v>
      </c>
      <c r="M18" s="89">
        <v>46185</v>
      </c>
      <c r="N18" s="80" t="s">
        <v>377</v>
      </c>
      <c r="O18" s="80" t="s">
        <v>608</v>
      </c>
    </row>
    <row r="19" spans="1:15" ht="71.25">
      <c r="A19" s="80" t="s">
        <v>609</v>
      </c>
      <c r="B19" s="80" t="s">
        <v>610</v>
      </c>
      <c r="C19" s="80" t="s">
        <v>611</v>
      </c>
      <c r="D19" s="80" t="s">
        <v>612</v>
      </c>
      <c r="E19" s="80" t="s">
        <v>613</v>
      </c>
      <c r="F19" s="80" t="s">
        <v>36</v>
      </c>
      <c r="G19" s="89">
        <v>46175</v>
      </c>
      <c r="H19" s="80" t="s">
        <v>377</v>
      </c>
      <c r="I19" s="80" t="s">
        <v>36</v>
      </c>
      <c r="J19" s="89">
        <v>46179</v>
      </c>
      <c r="K19" s="80" t="s">
        <v>377</v>
      </c>
      <c r="L19" s="80" t="s">
        <v>36</v>
      </c>
      <c r="M19" s="89">
        <v>46185</v>
      </c>
      <c r="N19" s="80" t="s">
        <v>377</v>
      </c>
      <c r="O19" s="80" t="s">
        <v>614</v>
      </c>
    </row>
    <row r="20" spans="1:15" ht="57">
      <c r="A20" s="80" t="s">
        <v>615</v>
      </c>
      <c r="B20" s="80" t="s">
        <v>616</v>
      </c>
      <c r="C20" s="80" t="s">
        <v>617</v>
      </c>
      <c r="D20" s="80" t="s">
        <v>618</v>
      </c>
      <c r="E20" s="80" t="s">
        <v>619</v>
      </c>
      <c r="F20" s="80" t="s">
        <v>36</v>
      </c>
      <c r="G20" s="89">
        <v>46175</v>
      </c>
      <c r="H20" s="80" t="s">
        <v>377</v>
      </c>
      <c r="I20" s="80" t="s">
        <v>36</v>
      </c>
      <c r="J20" s="89">
        <v>46179</v>
      </c>
      <c r="K20" s="80" t="s">
        <v>377</v>
      </c>
      <c r="L20" s="80" t="s">
        <v>36</v>
      </c>
      <c r="M20" s="89">
        <v>46185</v>
      </c>
      <c r="N20" s="80" t="s">
        <v>377</v>
      </c>
      <c r="O20" s="80" t="s">
        <v>620</v>
      </c>
    </row>
    <row r="21" spans="1:15" ht="57">
      <c r="A21" s="80" t="s">
        <v>621</v>
      </c>
      <c r="B21" s="80" t="s">
        <v>622</v>
      </c>
      <c r="C21" s="80" t="s">
        <v>623</v>
      </c>
      <c r="D21" s="80" t="s">
        <v>624</v>
      </c>
      <c r="E21" s="80" t="s">
        <v>64</v>
      </c>
      <c r="F21" s="80" t="s">
        <v>36</v>
      </c>
      <c r="G21" s="89">
        <v>46175</v>
      </c>
      <c r="H21" s="80" t="s">
        <v>377</v>
      </c>
      <c r="I21" s="80" t="s">
        <v>36</v>
      </c>
      <c r="J21" s="89">
        <v>46179</v>
      </c>
      <c r="K21" s="80" t="s">
        <v>377</v>
      </c>
      <c r="L21" s="80" t="s">
        <v>36</v>
      </c>
      <c r="M21" s="89">
        <v>46185</v>
      </c>
      <c r="N21" s="80" t="s">
        <v>377</v>
      </c>
      <c r="O21" s="80" t="s">
        <v>625</v>
      </c>
    </row>
    <row r="22" spans="1:15" ht="57">
      <c r="A22" s="80" t="s">
        <v>626</v>
      </c>
      <c r="B22" s="80" t="s">
        <v>627</v>
      </c>
      <c r="C22" s="80" t="s">
        <v>628</v>
      </c>
      <c r="D22" s="80" t="s">
        <v>629</v>
      </c>
      <c r="E22" s="80" t="s">
        <v>64</v>
      </c>
      <c r="F22" s="80" t="s">
        <v>36</v>
      </c>
      <c r="G22" s="89">
        <v>46175</v>
      </c>
      <c r="H22" s="80" t="s">
        <v>377</v>
      </c>
      <c r="I22" s="80" t="s">
        <v>36</v>
      </c>
      <c r="J22" s="89">
        <v>46179</v>
      </c>
      <c r="K22" s="80" t="s">
        <v>377</v>
      </c>
      <c r="L22" s="80" t="s">
        <v>36</v>
      </c>
      <c r="M22" s="89">
        <v>46185</v>
      </c>
      <c r="N22" s="80" t="s">
        <v>377</v>
      </c>
      <c r="O22" s="80" t="s">
        <v>630</v>
      </c>
    </row>
    <row r="23" spans="1:15" ht="57">
      <c r="A23" s="80" t="s">
        <v>631</v>
      </c>
      <c r="B23" s="80" t="s">
        <v>632</v>
      </c>
      <c r="C23" s="80" t="s">
        <v>633</v>
      </c>
      <c r="D23" s="80" t="s">
        <v>634</v>
      </c>
      <c r="E23" s="80" t="s">
        <v>64</v>
      </c>
      <c r="F23" s="80" t="s">
        <v>36</v>
      </c>
      <c r="G23" s="89">
        <v>46175</v>
      </c>
      <c r="H23" s="80" t="s">
        <v>377</v>
      </c>
      <c r="I23" s="80" t="s">
        <v>36</v>
      </c>
      <c r="J23" s="89">
        <v>46179</v>
      </c>
      <c r="K23" s="80" t="s">
        <v>377</v>
      </c>
      <c r="L23" s="80" t="s">
        <v>36</v>
      </c>
      <c r="M23" s="89">
        <v>46185</v>
      </c>
      <c r="N23" s="80" t="s">
        <v>377</v>
      </c>
      <c r="O23" s="80" t="s">
        <v>635</v>
      </c>
    </row>
    <row r="24" spans="1:15" ht="57">
      <c r="A24" s="80" t="s">
        <v>636</v>
      </c>
      <c r="B24" s="80" t="s">
        <v>637</v>
      </c>
      <c r="C24" s="80" t="s">
        <v>638</v>
      </c>
      <c r="D24" s="80" t="s">
        <v>639</v>
      </c>
      <c r="E24" s="80" t="s">
        <v>64</v>
      </c>
      <c r="F24" s="80" t="s">
        <v>36</v>
      </c>
      <c r="G24" s="89">
        <v>46175</v>
      </c>
      <c r="H24" s="80" t="s">
        <v>377</v>
      </c>
      <c r="I24" s="80" t="s">
        <v>36</v>
      </c>
      <c r="J24" s="89">
        <v>46179</v>
      </c>
      <c r="K24" s="80" t="s">
        <v>377</v>
      </c>
      <c r="L24" s="80" t="s">
        <v>36</v>
      </c>
      <c r="M24" s="89">
        <v>46185</v>
      </c>
      <c r="N24" s="80" t="s">
        <v>377</v>
      </c>
      <c r="O24" s="80" t="s">
        <v>640</v>
      </c>
    </row>
    <row r="25" spans="1:15" ht="12.75">
      <c r="A25" s="197" t="s">
        <v>641</v>
      </c>
      <c r="B25" s="198"/>
      <c r="C25" s="198"/>
      <c r="D25" s="198"/>
      <c r="E25" s="198"/>
      <c r="F25" s="198"/>
      <c r="G25" s="198"/>
      <c r="H25" s="198"/>
      <c r="I25" s="198"/>
      <c r="J25" s="198"/>
      <c r="K25" s="198"/>
      <c r="L25" s="198"/>
      <c r="M25" s="198"/>
      <c r="N25" s="198"/>
      <c r="O25" s="199"/>
    </row>
    <row r="26" spans="1:15" ht="76.5" customHeight="1">
      <c r="A26" s="80" t="s">
        <v>642</v>
      </c>
      <c r="B26" s="80" t="s">
        <v>643</v>
      </c>
      <c r="C26" s="80" t="s">
        <v>644</v>
      </c>
      <c r="D26" s="80" t="s">
        <v>645</v>
      </c>
      <c r="E26" s="80" t="s">
        <v>646</v>
      </c>
      <c r="F26" s="80" t="s">
        <v>36</v>
      </c>
      <c r="G26" s="89">
        <v>46175</v>
      </c>
      <c r="H26" s="80" t="s">
        <v>377</v>
      </c>
      <c r="I26" s="80" t="s">
        <v>36</v>
      </c>
      <c r="J26" s="89">
        <v>46179</v>
      </c>
      <c r="K26" s="80" t="s">
        <v>377</v>
      </c>
      <c r="L26" s="80" t="s">
        <v>36</v>
      </c>
      <c r="M26" s="89">
        <v>46185</v>
      </c>
      <c r="N26" s="80" t="s">
        <v>377</v>
      </c>
      <c r="O26" s="80" t="s">
        <v>647</v>
      </c>
    </row>
    <row r="27" spans="1:15" ht="71.25">
      <c r="A27" s="80" t="s">
        <v>648</v>
      </c>
      <c r="B27" s="80" t="s">
        <v>649</v>
      </c>
      <c r="C27" s="80" t="s">
        <v>650</v>
      </c>
      <c r="D27" s="80" t="s">
        <v>651</v>
      </c>
      <c r="E27" s="80" t="s">
        <v>652</v>
      </c>
      <c r="F27" s="80" t="s">
        <v>36</v>
      </c>
      <c r="G27" s="89">
        <v>46175</v>
      </c>
      <c r="H27" s="80" t="s">
        <v>377</v>
      </c>
      <c r="I27" s="80" t="s">
        <v>36</v>
      </c>
      <c r="J27" s="89">
        <v>46179</v>
      </c>
      <c r="K27" s="80" t="s">
        <v>377</v>
      </c>
      <c r="L27" s="80" t="s">
        <v>36</v>
      </c>
      <c r="M27" s="89">
        <v>46185</v>
      </c>
      <c r="N27" s="80" t="s">
        <v>377</v>
      </c>
      <c r="O27" s="80" t="s">
        <v>653</v>
      </c>
    </row>
    <row r="28" spans="1:15" ht="57">
      <c r="A28" s="80" t="s">
        <v>654</v>
      </c>
      <c r="B28" s="80" t="s">
        <v>655</v>
      </c>
      <c r="C28" s="80" t="s">
        <v>656</v>
      </c>
      <c r="D28" s="80" t="s">
        <v>657</v>
      </c>
      <c r="E28" s="80" t="s">
        <v>658</v>
      </c>
      <c r="F28" s="80" t="s">
        <v>36</v>
      </c>
      <c r="G28" s="89">
        <v>46175</v>
      </c>
      <c r="H28" s="80" t="s">
        <v>377</v>
      </c>
      <c r="I28" s="80" t="s">
        <v>36</v>
      </c>
      <c r="J28" s="89">
        <v>46179</v>
      </c>
      <c r="K28" s="80" t="s">
        <v>377</v>
      </c>
      <c r="L28" s="80" t="s">
        <v>36</v>
      </c>
      <c r="M28" s="89">
        <v>46185</v>
      </c>
      <c r="N28" s="80" t="s">
        <v>377</v>
      </c>
      <c r="O28" s="80" t="s">
        <v>659</v>
      </c>
    </row>
    <row r="29" spans="1:15" ht="57">
      <c r="A29" s="80" t="s">
        <v>660</v>
      </c>
      <c r="B29" s="80" t="s">
        <v>661</v>
      </c>
      <c r="C29" s="80" t="s">
        <v>662</v>
      </c>
      <c r="D29" s="80" t="s">
        <v>663</v>
      </c>
      <c r="E29" s="80" t="s">
        <v>664</v>
      </c>
      <c r="F29" s="80" t="s">
        <v>36</v>
      </c>
      <c r="G29" s="89">
        <v>46175</v>
      </c>
      <c r="H29" s="80" t="s">
        <v>377</v>
      </c>
      <c r="I29" s="80" t="s">
        <v>36</v>
      </c>
      <c r="J29" s="89">
        <v>46179</v>
      </c>
      <c r="K29" s="80" t="s">
        <v>377</v>
      </c>
      <c r="L29" s="80" t="s">
        <v>36</v>
      </c>
      <c r="M29" s="89">
        <v>46185</v>
      </c>
      <c r="N29" s="80" t="s">
        <v>377</v>
      </c>
      <c r="O29" s="80" t="s">
        <v>665</v>
      </c>
    </row>
    <row r="30" spans="1:15" ht="57">
      <c r="A30" s="80" t="s">
        <v>666</v>
      </c>
      <c r="B30" s="80" t="s">
        <v>667</v>
      </c>
      <c r="C30" s="80" t="s">
        <v>668</v>
      </c>
      <c r="D30" s="80" t="s">
        <v>669</v>
      </c>
      <c r="E30" s="80" t="s">
        <v>670</v>
      </c>
      <c r="F30" s="80" t="s">
        <v>36</v>
      </c>
      <c r="G30" s="89">
        <v>46175</v>
      </c>
      <c r="H30" s="80" t="s">
        <v>377</v>
      </c>
      <c r="I30" s="80" t="s">
        <v>36</v>
      </c>
      <c r="J30" s="89">
        <v>46179</v>
      </c>
      <c r="K30" s="80" t="s">
        <v>377</v>
      </c>
      <c r="L30" s="80" t="s">
        <v>36</v>
      </c>
      <c r="M30" s="89">
        <v>46185</v>
      </c>
      <c r="N30" s="80" t="s">
        <v>377</v>
      </c>
      <c r="O30" s="80" t="s">
        <v>671</v>
      </c>
    </row>
    <row r="31" spans="1:15" ht="12.75">
      <c r="A31" s="197" t="s">
        <v>672</v>
      </c>
      <c r="B31" s="198"/>
      <c r="C31" s="198"/>
      <c r="D31" s="198"/>
      <c r="E31" s="198"/>
      <c r="F31" s="198"/>
      <c r="G31" s="198"/>
      <c r="H31" s="198"/>
      <c r="I31" s="198"/>
      <c r="J31" s="198"/>
      <c r="K31" s="198"/>
      <c r="L31" s="198"/>
      <c r="M31" s="198"/>
      <c r="N31" s="198"/>
      <c r="O31" s="199"/>
    </row>
    <row r="32" spans="1:15" ht="57">
      <c r="A32" s="80" t="s">
        <v>673</v>
      </c>
      <c r="B32" s="80" t="s">
        <v>674</v>
      </c>
      <c r="C32" s="80" t="s">
        <v>675</v>
      </c>
      <c r="D32" s="80" t="s">
        <v>676</v>
      </c>
      <c r="E32" s="80" t="s">
        <v>677</v>
      </c>
      <c r="F32" s="80" t="s">
        <v>36</v>
      </c>
      <c r="G32" s="89">
        <v>46175</v>
      </c>
      <c r="H32" s="80" t="s">
        <v>377</v>
      </c>
      <c r="I32" s="80" t="s">
        <v>36</v>
      </c>
      <c r="J32" s="89">
        <v>46179</v>
      </c>
      <c r="K32" s="80" t="s">
        <v>377</v>
      </c>
      <c r="L32" s="80" t="s">
        <v>36</v>
      </c>
      <c r="M32" s="89">
        <v>46185</v>
      </c>
      <c r="N32" s="80" t="s">
        <v>377</v>
      </c>
      <c r="O32" s="80" t="s">
        <v>678</v>
      </c>
    </row>
    <row r="33" spans="1:15" ht="57">
      <c r="A33" s="80" t="s">
        <v>679</v>
      </c>
      <c r="B33" s="80" t="s">
        <v>680</v>
      </c>
      <c r="C33" s="80" t="s">
        <v>681</v>
      </c>
      <c r="D33" s="80" t="s">
        <v>639</v>
      </c>
      <c r="E33" s="80" t="s">
        <v>682</v>
      </c>
      <c r="F33" s="80" t="s">
        <v>36</v>
      </c>
      <c r="G33" s="89">
        <v>46175</v>
      </c>
      <c r="H33" s="80" t="s">
        <v>377</v>
      </c>
      <c r="I33" s="80" t="s">
        <v>36</v>
      </c>
      <c r="J33" s="89">
        <v>46179</v>
      </c>
      <c r="K33" s="80" t="s">
        <v>377</v>
      </c>
      <c r="L33" s="80" t="s">
        <v>36</v>
      </c>
      <c r="M33" s="89">
        <v>46185</v>
      </c>
      <c r="N33" s="80" t="s">
        <v>377</v>
      </c>
      <c r="O33" s="80" t="s">
        <v>683</v>
      </c>
    </row>
    <row r="34" spans="1:15" ht="71.25">
      <c r="A34" s="80" t="s">
        <v>684</v>
      </c>
      <c r="B34" s="80" t="s">
        <v>685</v>
      </c>
      <c r="C34" s="80" t="s">
        <v>686</v>
      </c>
      <c r="D34" s="80" t="s">
        <v>687</v>
      </c>
      <c r="E34" s="80" t="s">
        <v>688</v>
      </c>
      <c r="F34" s="80" t="s">
        <v>36</v>
      </c>
      <c r="G34" s="89">
        <v>46175</v>
      </c>
      <c r="H34" s="80" t="s">
        <v>377</v>
      </c>
      <c r="I34" s="80" t="s">
        <v>36</v>
      </c>
      <c r="J34" s="89">
        <v>46179</v>
      </c>
      <c r="K34" s="80" t="s">
        <v>377</v>
      </c>
      <c r="L34" s="80" t="s">
        <v>36</v>
      </c>
      <c r="M34" s="89">
        <v>46185</v>
      </c>
      <c r="N34" s="80" t="s">
        <v>377</v>
      </c>
      <c r="O34" s="80" t="s">
        <v>689</v>
      </c>
    </row>
    <row r="35" spans="1:15" ht="12.75">
      <c r="A35" s="197" t="s">
        <v>690</v>
      </c>
      <c r="B35" s="198"/>
      <c r="C35" s="198"/>
      <c r="D35" s="198"/>
      <c r="E35" s="198"/>
      <c r="F35" s="198"/>
      <c r="G35" s="198"/>
      <c r="H35" s="198"/>
      <c r="I35" s="198"/>
      <c r="J35" s="198"/>
      <c r="K35" s="198"/>
      <c r="L35" s="198"/>
      <c r="M35" s="198"/>
      <c r="N35" s="198"/>
      <c r="O35" s="199"/>
    </row>
    <row r="36" spans="1:15" ht="72" customHeight="1">
      <c r="A36" s="80" t="s">
        <v>691</v>
      </c>
      <c r="B36" s="80" t="s">
        <v>692</v>
      </c>
      <c r="C36" s="80" t="s">
        <v>693</v>
      </c>
      <c r="D36" s="80" t="s">
        <v>694</v>
      </c>
      <c r="E36" s="80" t="s">
        <v>499</v>
      </c>
      <c r="F36" s="80" t="s">
        <v>36</v>
      </c>
      <c r="G36" s="89">
        <v>46175</v>
      </c>
      <c r="H36" s="80" t="s">
        <v>377</v>
      </c>
      <c r="I36" s="80" t="s">
        <v>36</v>
      </c>
      <c r="J36" s="89">
        <v>46179</v>
      </c>
      <c r="K36" s="80" t="s">
        <v>377</v>
      </c>
      <c r="L36" s="80" t="s">
        <v>36</v>
      </c>
      <c r="M36" s="89">
        <v>46185</v>
      </c>
      <c r="N36" s="80" t="s">
        <v>377</v>
      </c>
      <c r="O36" s="80" t="s">
        <v>695</v>
      </c>
    </row>
    <row r="37" spans="1:15" ht="57">
      <c r="A37" s="80" t="s">
        <v>696</v>
      </c>
      <c r="B37" s="80" t="s">
        <v>697</v>
      </c>
      <c r="C37" s="80" t="s">
        <v>698</v>
      </c>
      <c r="D37" s="80" t="s">
        <v>699</v>
      </c>
      <c r="E37" s="80" t="s">
        <v>446</v>
      </c>
      <c r="F37" s="80" t="s">
        <v>36</v>
      </c>
      <c r="G37" s="89">
        <v>46175</v>
      </c>
      <c r="H37" s="80" t="s">
        <v>377</v>
      </c>
      <c r="I37" s="80" t="s">
        <v>36</v>
      </c>
      <c r="J37" s="89">
        <v>46179</v>
      </c>
      <c r="K37" s="80" t="s">
        <v>377</v>
      </c>
      <c r="L37" s="80" t="s">
        <v>36</v>
      </c>
      <c r="M37" s="89">
        <v>46185</v>
      </c>
      <c r="N37" s="80" t="s">
        <v>377</v>
      </c>
      <c r="O37" s="80" t="s">
        <v>700</v>
      </c>
    </row>
    <row r="38" spans="1:15" ht="57">
      <c r="A38" s="80" t="s">
        <v>701</v>
      </c>
      <c r="B38" s="80" t="s">
        <v>702</v>
      </c>
      <c r="C38" s="80" t="s">
        <v>703</v>
      </c>
      <c r="D38" s="80" t="s">
        <v>704</v>
      </c>
      <c r="E38" s="80" t="s">
        <v>520</v>
      </c>
      <c r="F38" s="80" t="s">
        <v>36</v>
      </c>
      <c r="G38" s="89">
        <v>46175</v>
      </c>
      <c r="H38" s="80" t="s">
        <v>377</v>
      </c>
      <c r="I38" s="80" t="s">
        <v>36</v>
      </c>
      <c r="J38" s="89">
        <v>46179</v>
      </c>
      <c r="K38" s="80" t="s">
        <v>377</v>
      </c>
      <c r="L38" s="80" t="s">
        <v>36</v>
      </c>
      <c r="M38" s="89">
        <v>46185</v>
      </c>
      <c r="N38" s="80" t="s">
        <v>377</v>
      </c>
      <c r="O38" s="80" t="s">
        <v>705</v>
      </c>
    </row>
    <row r="39" spans="1:15" ht="71.25">
      <c r="A39" s="80" t="s">
        <v>706</v>
      </c>
      <c r="B39" s="80" t="s">
        <v>707</v>
      </c>
      <c r="C39" s="80" t="s">
        <v>708</v>
      </c>
      <c r="D39" s="80" t="s">
        <v>709</v>
      </c>
      <c r="E39" s="80" t="s">
        <v>710</v>
      </c>
      <c r="F39" s="80" t="s">
        <v>36</v>
      </c>
      <c r="G39" s="89">
        <v>46175</v>
      </c>
      <c r="H39" s="80" t="s">
        <v>377</v>
      </c>
      <c r="I39" s="80" t="s">
        <v>36</v>
      </c>
      <c r="J39" s="89">
        <v>46179</v>
      </c>
      <c r="K39" s="80" t="s">
        <v>377</v>
      </c>
      <c r="L39" s="80" t="s">
        <v>36</v>
      </c>
      <c r="M39" s="89">
        <v>46185</v>
      </c>
      <c r="N39" s="80" t="s">
        <v>377</v>
      </c>
      <c r="O39" s="80" t="s">
        <v>711</v>
      </c>
    </row>
    <row r="40" spans="1:15" ht="71.25">
      <c r="A40" s="80" t="s">
        <v>712</v>
      </c>
      <c r="B40" s="80" t="s">
        <v>713</v>
      </c>
      <c r="C40" s="80" t="s">
        <v>714</v>
      </c>
      <c r="D40" s="80" t="s">
        <v>715</v>
      </c>
      <c r="E40" s="80" t="s">
        <v>64</v>
      </c>
      <c r="F40" s="80" t="s">
        <v>36</v>
      </c>
      <c r="G40" s="89">
        <v>46175</v>
      </c>
      <c r="H40" s="80" t="s">
        <v>377</v>
      </c>
      <c r="I40" s="80" t="s">
        <v>36</v>
      </c>
      <c r="J40" s="89">
        <v>46179</v>
      </c>
      <c r="K40" s="80" t="s">
        <v>377</v>
      </c>
      <c r="L40" s="80" t="s">
        <v>36</v>
      </c>
      <c r="M40" s="89">
        <v>46185</v>
      </c>
      <c r="N40" s="80" t="s">
        <v>377</v>
      </c>
      <c r="O40" s="80" t="s">
        <v>716</v>
      </c>
    </row>
    <row r="41" spans="1:15" ht="12.75">
      <c r="A41" s="197" t="s">
        <v>717</v>
      </c>
      <c r="B41" s="198"/>
      <c r="C41" s="198"/>
      <c r="D41" s="198"/>
      <c r="E41" s="198"/>
      <c r="F41" s="198"/>
      <c r="G41" s="198"/>
      <c r="H41" s="198"/>
      <c r="I41" s="198"/>
      <c r="J41" s="198"/>
      <c r="K41" s="198"/>
      <c r="L41" s="198"/>
      <c r="M41" s="198"/>
      <c r="N41" s="198"/>
      <c r="O41" s="199"/>
    </row>
    <row r="42" spans="1:15" ht="71.25" customHeight="1">
      <c r="A42" s="80" t="s">
        <v>718</v>
      </c>
      <c r="B42" s="80" t="s">
        <v>719</v>
      </c>
      <c r="C42" s="80" t="s">
        <v>720</v>
      </c>
      <c r="D42" s="80" t="s">
        <v>721</v>
      </c>
      <c r="E42" s="80" t="s">
        <v>722</v>
      </c>
      <c r="F42" s="80" t="s">
        <v>36</v>
      </c>
      <c r="G42" s="89">
        <v>46175</v>
      </c>
      <c r="H42" s="80" t="s">
        <v>377</v>
      </c>
      <c r="I42" s="80" t="s">
        <v>36</v>
      </c>
      <c r="J42" s="89">
        <v>46179</v>
      </c>
      <c r="K42" s="80" t="s">
        <v>377</v>
      </c>
      <c r="L42" s="80" t="s">
        <v>36</v>
      </c>
      <c r="M42" s="89">
        <v>46185</v>
      </c>
      <c r="N42" s="80" t="s">
        <v>377</v>
      </c>
      <c r="O42" s="80" t="s">
        <v>723</v>
      </c>
    </row>
    <row r="43" spans="1:15" ht="57">
      <c r="A43" s="80" t="s">
        <v>724</v>
      </c>
      <c r="B43" s="80" t="s">
        <v>725</v>
      </c>
      <c r="C43" s="80" t="s">
        <v>726</v>
      </c>
      <c r="D43" s="80" t="s">
        <v>629</v>
      </c>
      <c r="E43" s="80" t="s">
        <v>446</v>
      </c>
      <c r="F43" s="80" t="s">
        <v>36</v>
      </c>
      <c r="G43" s="89">
        <v>46175</v>
      </c>
      <c r="H43" s="80" t="s">
        <v>377</v>
      </c>
      <c r="I43" s="80" t="s">
        <v>36</v>
      </c>
      <c r="J43" s="89">
        <v>46179</v>
      </c>
      <c r="K43" s="80" t="s">
        <v>377</v>
      </c>
      <c r="L43" s="80" t="s">
        <v>36</v>
      </c>
      <c r="M43" s="89">
        <v>46185</v>
      </c>
      <c r="N43" s="80" t="s">
        <v>377</v>
      </c>
      <c r="O43" s="80" t="s">
        <v>727</v>
      </c>
    </row>
    <row r="44" spans="1:15" ht="57">
      <c r="A44" s="80" t="s">
        <v>728</v>
      </c>
      <c r="B44" s="80" t="s">
        <v>729</v>
      </c>
      <c r="C44" s="80" t="s">
        <v>730</v>
      </c>
      <c r="D44" s="80" t="s">
        <v>731</v>
      </c>
      <c r="E44" s="80" t="s">
        <v>732</v>
      </c>
      <c r="F44" s="80" t="s">
        <v>36</v>
      </c>
      <c r="G44" s="89">
        <v>46175</v>
      </c>
      <c r="H44" s="80" t="s">
        <v>377</v>
      </c>
      <c r="I44" s="80" t="s">
        <v>36</v>
      </c>
      <c r="J44" s="89">
        <v>46179</v>
      </c>
      <c r="K44" s="80" t="s">
        <v>377</v>
      </c>
      <c r="L44" s="80" t="s">
        <v>36</v>
      </c>
      <c r="M44" s="89">
        <v>46185</v>
      </c>
      <c r="N44" s="80" t="s">
        <v>377</v>
      </c>
      <c r="O44" s="80" t="s">
        <v>700</v>
      </c>
    </row>
    <row r="45" spans="1:15" ht="63.75" customHeight="1">
      <c r="A45" s="80" t="s">
        <v>733</v>
      </c>
      <c r="B45" s="80" t="s">
        <v>734</v>
      </c>
      <c r="C45" s="80" t="s">
        <v>735</v>
      </c>
      <c r="D45" s="80" t="s">
        <v>736</v>
      </c>
      <c r="E45" s="80" t="s">
        <v>737</v>
      </c>
      <c r="F45" s="80" t="s">
        <v>36</v>
      </c>
      <c r="G45" s="89">
        <v>46175</v>
      </c>
      <c r="H45" s="80" t="s">
        <v>377</v>
      </c>
      <c r="I45" s="80" t="s">
        <v>36</v>
      </c>
      <c r="J45" s="89">
        <v>46179</v>
      </c>
      <c r="K45" s="80" t="s">
        <v>377</v>
      </c>
      <c r="L45" s="80" t="s">
        <v>36</v>
      </c>
      <c r="M45" s="89">
        <v>46185</v>
      </c>
      <c r="N45" s="80" t="s">
        <v>377</v>
      </c>
      <c r="O45" s="80" t="s">
        <v>738</v>
      </c>
    </row>
    <row r="46" spans="1:15" ht="62.25" customHeight="1">
      <c r="A46" s="80" t="s">
        <v>739</v>
      </c>
      <c r="B46" s="80" t="s">
        <v>740</v>
      </c>
      <c r="C46" s="80" t="s">
        <v>741</v>
      </c>
      <c r="D46" s="80" t="s">
        <v>539</v>
      </c>
      <c r="E46" s="80" t="s">
        <v>64</v>
      </c>
      <c r="F46" s="80" t="s">
        <v>36</v>
      </c>
      <c r="G46" s="89">
        <v>46175</v>
      </c>
      <c r="H46" s="80" t="s">
        <v>377</v>
      </c>
      <c r="I46" s="80" t="s">
        <v>36</v>
      </c>
      <c r="J46" s="89">
        <v>46179</v>
      </c>
      <c r="K46" s="80" t="s">
        <v>377</v>
      </c>
      <c r="L46" s="80" t="s">
        <v>36</v>
      </c>
      <c r="M46" s="89">
        <v>46185</v>
      </c>
      <c r="N46" s="80" t="s">
        <v>377</v>
      </c>
      <c r="O46" s="80" t="s">
        <v>742</v>
      </c>
    </row>
    <row r="47" spans="1:15" ht="15.75" customHeight="1">
      <c r="A47" s="197" t="s">
        <v>743</v>
      </c>
      <c r="B47" s="198"/>
      <c r="C47" s="198"/>
      <c r="D47" s="198"/>
      <c r="E47" s="198"/>
      <c r="F47" s="198"/>
      <c r="G47" s="198"/>
      <c r="H47" s="198"/>
      <c r="I47" s="198"/>
      <c r="J47" s="198"/>
      <c r="K47" s="198"/>
      <c r="L47" s="198"/>
      <c r="M47" s="198"/>
      <c r="N47" s="198"/>
      <c r="O47" s="199"/>
    </row>
    <row r="48" spans="1:15" ht="62.25" customHeight="1">
      <c r="A48" s="80" t="s">
        <v>744</v>
      </c>
      <c r="B48" s="80" t="s">
        <v>745</v>
      </c>
      <c r="C48" s="80" t="s">
        <v>746</v>
      </c>
      <c r="D48" s="80" t="s">
        <v>747</v>
      </c>
      <c r="E48" s="80" t="s">
        <v>499</v>
      </c>
      <c r="F48" s="80" t="s">
        <v>36</v>
      </c>
      <c r="G48" s="89">
        <v>46175</v>
      </c>
      <c r="H48" s="80" t="s">
        <v>377</v>
      </c>
      <c r="I48" s="80" t="s">
        <v>36</v>
      </c>
      <c r="J48" s="89">
        <v>46179</v>
      </c>
      <c r="K48" s="80" t="s">
        <v>377</v>
      </c>
      <c r="L48" s="80" t="s">
        <v>36</v>
      </c>
      <c r="M48" s="89">
        <v>46185</v>
      </c>
      <c r="N48" s="80" t="s">
        <v>377</v>
      </c>
      <c r="O48" s="80" t="s">
        <v>748</v>
      </c>
    </row>
    <row r="49" spans="1:15" ht="95.25" customHeight="1">
      <c r="A49" s="80" t="s">
        <v>749</v>
      </c>
      <c r="B49" s="80" t="s">
        <v>750</v>
      </c>
      <c r="C49" s="80" t="s">
        <v>751</v>
      </c>
      <c r="D49" s="80" t="s">
        <v>752</v>
      </c>
      <c r="E49" s="80" t="s">
        <v>499</v>
      </c>
      <c r="F49" s="80" t="s">
        <v>36</v>
      </c>
      <c r="G49" s="89">
        <v>46175</v>
      </c>
      <c r="H49" s="80" t="s">
        <v>377</v>
      </c>
      <c r="I49" s="80" t="s">
        <v>36</v>
      </c>
      <c r="J49" s="89">
        <v>46179</v>
      </c>
      <c r="K49" s="80" t="s">
        <v>377</v>
      </c>
      <c r="L49" s="80" t="s">
        <v>36</v>
      </c>
      <c r="M49" s="89">
        <v>46185</v>
      </c>
      <c r="N49" s="80" t="s">
        <v>377</v>
      </c>
      <c r="O49" s="80" t="s">
        <v>753</v>
      </c>
    </row>
    <row r="50" spans="1:15" ht="72" customHeight="1">
      <c r="A50" s="80" t="s">
        <v>754</v>
      </c>
      <c r="B50" s="80" t="s">
        <v>755</v>
      </c>
      <c r="C50" s="80" t="s">
        <v>756</v>
      </c>
      <c r="D50" s="80" t="s">
        <v>757</v>
      </c>
      <c r="E50" s="80" t="s">
        <v>64</v>
      </c>
      <c r="F50" s="80" t="s">
        <v>36</v>
      </c>
      <c r="G50" s="89">
        <v>46175</v>
      </c>
      <c r="H50" s="80" t="s">
        <v>377</v>
      </c>
      <c r="I50" s="80" t="s">
        <v>36</v>
      </c>
      <c r="J50" s="89">
        <v>46179</v>
      </c>
      <c r="K50" s="80" t="s">
        <v>377</v>
      </c>
      <c r="L50" s="80" t="s">
        <v>36</v>
      </c>
      <c r="M50" s="89">
        <v>46185</v>
      </c>
      <c r="N50" s="80" t="s">
        <v>377</v>
      </c>
      <c r="O50" s="80" t="s">
        <v>758</v>
      </c>
    </row>
    <row r="51" spans="1:15" ht="83.25" customHeight="1">
      <c r="A51" s="80" t="s">
        <v>759</v>
      </c>
      <c r="B51" s="80" t="s">
        <v>760</v>
      </c>
      <c r="C51" s="80" t="s">
        <v>761</v>
      </c>
      <c r="D51" s="80" t="s">
        <v>539</v>
      </c>
      <c r="E51" s="80" t="s">
        <v>64</v>
      </c>
      <c r="F51" s="80" t="s">
        <v>36</v>
      </c>
      <c r="G51" s="89">
        <v>46175</v>
      </c>
      <c r="H51" s="80" t="s">
        <v>377</v>
      </c>
      <c r="I51" s="80" t="s">
        <v>36</v>
      </c>
      <c r="J51" s="89">
        <v>46179</v>
      </c>
      <c r="K51" s="80" t="s">
        <v>377</v>
      </c>
      <c r="L51" s="80" t="s">
        <v>36</v>
      </c>
      <c r="M51" s="89">
        <v>46185</v>
      </c>
      <c r="N51" s="80" t="s">
        <v>377</v>
      </c>
      <c r="O51" s="80" t="s">
        <v>762</v>
      </c>
    </row>
    <row r="52" spans="1:15" ht="62.25" customHeight="1">
      <c r="A52" s="80" t="s">
        <v>739</v>
      </c>
      <c r="B52" s="80" t="s">
        <v>740</v>
      </c>
      <c r="C52" s="80" t="s">
        <v>741</v>
      </c>
      <c r="D52" s="80" t="s">
        <v>539</v>
      </c>
      <c r="E52" s="80" t="s">
        <v>64</v>
      </c>
      <c r="F52" s="80" t="s">
        <v>36</v>
      </c>
      <c r="G52" s="89">
        <v>46175</v>
      </c>
      <c r="H52" s="80" t="s">
        <v>377</v>
      </c>
      <c r="I52" s="80" t="s">
        <v>36</v>
      </c>
      <c r="J52" s="89">
        <v>46179</v>
      </c>
      <c r="K52" s="80" t="s">
        <v>377</v>
      </c>
      <c r="L52" s="80" t="s">
        <v>36</v>
      </c>
      <c r="M52" s="89">
        <v>46185</v>
      </c>
      <c r="N52" s="80" t="s">
        <v>377</v>
      </c>
      <c r="O52" s="80" t="s">
        <v>742</v>
      </c>
    </row>
    <row r="53" spans="1:15" ht="15.75" customHeight="1">
      <c r="A53" s="197" t="s">
        <v>763</v>
      </c>
      <c r="B53" s="198"/>
      <c r="C53" s="198"/>
      <c r="D53" s="198"/>
      <c r="E53" s="198"/>
      <c r="F53" s="198"/>
      <c r="G53" s="198"/>
      <c r="H53" s="198"/>
      <c r="I53" s="198"/>
      <c r="J53" s="198"/>
      <c r="K53" s="198"/>
      <c r="L53" s="198"/>
      <c r="M53" s="198"/>
      <c r="N53" s="198"/>
      <c r="O53" s="199"/>
    </row>
    <row r="54" spans="1:15" ht="80.25" customHeight="1">
      <c r="A54" s="80" t="s">
        <v>764</v>
      </c>
      <c r="B54" s="80" t="s">
        <v>765</v>
      </c>
      <c r="C54" s="80" t="s">
        <v>766</v>
      </c>
      <c r="D54" s="80" t="s">
        <v>767</v>
      </c>
      <c r="E54" s="80" t="s">
        <v>499</v>
      </c>
      <c r="F54" s="80" t="s">
        <v>36</v>
      </c>
      <c r="G54" s="89">
        <v>46175</v>
      </c>
      <c r="H54" s="80" t="s">
        <v>377</v>
      </c>
      <c r="I54" s="80" t="s">
        <v>36</v>
      </c>
      <c r="J54" s="89">
        <v>46179</v>
      </c>
      <c r="K54" s="80" t="s">
        <v>377</v>
      </c>
      <c r="L54" s="80" t="s">
        <v>36</v>
      </c>
      <c r="M54" s="89">
        <v>46185</v>
      </c>
      <c r="N54" s="80" t="s">
        <v>377</v>
      </c>
      <c r="O54" s="80" t="s">
        <v>768</v>
      </c>
    </row>
    <row r="55" spans="1:15" ht="62.25" customHeight="1">
      <c r="A55" s="80" t="s">
        <v>769</v>
      </c>
      <c r="B55" s="80" t="s">
        <v>770</v>
      </c>
      <c r="C55" s="80" t="s">
        <v>771</v>
      </c>
      <c r="D55" s="80" t="s">
        <v>772</v>
      </c>
      <c r="E55" s="80" t="s">
        <v>773</v>
      </c>
      <c r="F55" s="80" t="s">
        <v>36</v>
      </c>
      <c r="G55" s="89">
        <v>46175</v>
      </c>
      <c r="H55" s="80" t="s">
        <v>377</v>
      </c>
      <c r="I55" s="80" t="s">
        <v>36</v>
      </c>
      <c r="J55" s="89">
        <v>46179</v>
      </c>
      <c r="K55" s="80" t="s">
        <v>377</v>
      </c>
      <c r="L55" s="80" t="s">
        <v>36</v>
      </c>
      <c r="M55" s="89">
        <v>46185</v>
      </c>
      <c r="N55" s="80" t="s">
        <v>377</v>
      </c>
      <c r="O55" s="80" t="s">
        <v>774</v>
      </c>
    </row>
    <row r="56" spans="1:15" ht="64.5" customHeight="1">
      <c r="A56" s="80" t="s">
        <v>775</v>
      </c>
      <c r="B56" s="80" t="s">
        <v>776</v>
      </c>
      <c r="C56" s="80" t="s">
        <v>777</v>
      </c>
      <c r="D56" s="80" t="s">
        <v>778</v>
      </c>
      <c r="E56" s="80" t="s">
        <v>499</v>
      </c>
      <c r="F56" s="80" t="s">
        <v>36</v>
      </c>
      <c r="G56" s="89">
        <v>46175</v>
      </c>
      <c r="H56" s="80" t="s">
        <v>377</v>
      </c>
      <c r="I56" s="80" t="s">
        <v>36</v>
      </c>
      <c r="J56" s="89">
        <v>46179</v>
      </c>
      <c r="K56" s="80" t="s">
        <v>377</v>
      </c>
      <c r="L56" s="80" t="s">
        <v>36</v>
      </c>
      <c r="M56" s="89">
        <v>46185</v>
      </c>
      <c r="N56" s="80" t="s">
        <v>377</v>
      </c>
      <c r="O56" s="80" t="s">
        <v>779</v>
      </c>
    </row>
    <row r="57" spans="1:15" ht="78.75" customHeight="1">
      <c r="A57" s="80" t="s">
        <v>780</v>
      </c>
      <c r="B57" s="80" t="s">
        <v>781</v>
      </c>
      <c r="C57" s="80" t="s">
        <v>782</v>
      </c>
      <c r="D57" s="80" t="s">
        <v>783</v>
      </c>
      <c r="E57" s="80" t="s">
        <v>64</v>
      </c>
      <c r="F57" s="80" t="s">
        <v>36</v>
      </c>
      <c r="G57" s="89">
        <v>46175</v>
      </c>
      <c r="H57" s="80" t="s">
        <v>377</v>
      </c>
      <c r="I57" s="80" t="s">
        <v>36</v>
      </c>
      <c r="J57" s="89">
        <v>46179</v>
      </c>
      <c r="K57" s="80" t="s">
        <v>377</v>
      </c>
      <c r="L57" s="80" t="s">
        <v>36</v>
      </c>
      <c r="M57" s="89">
        <v>46185</v>
      </c>
      <c r="N57" s="80" t="s">
        <v>377</v>
      </c>
      <c r="O57" s="80" t="s">
        <v>784</v>
      </c>
    </row>
    <row r="58" spans="1:15" ht="81.75" customHeight="1">
      <c r="A58" s="80" t="s">
        <v>785</v>
      </c>
      <c r="B58" s="80" t="s">
        <v>786</v>
      </c>
      <c r="C58" s="80" t="s">
        <v>787</v>
      </c>
      <c r="D58" s="80" t="s">
        <v>788</v>
      </c>
      <c r="E58" s="80" t="s">
        <v>789</v>
      </c>
      <c r="F58" s="80" t="s">
        <v>36</v>
      </c>
      <c r="G58" s="89">
        <v>46175</v>
      </c>
      <c r="H58" s="80" t="s">
        <v>377</v>
      </c>
      <c r="I58" s="80" t="s">
        <v>36</v>
      </c>
      <c r="J58" s="89">
        <v>46179</v>
      </c>
      <c r="K58" s="80" t="s">
        <v>377</v>
      </c>
      <c r="L58" s="80" t="s">
        <v>36</v>
      </c>
      <c r="M58" s="89">
        <v>46185</v>
      </c>
      <c r="N58" s="80" t="s">
        <v>377</v>
      </c>
      <c r="O58" s="80" t="s">
        <v>790</v>
      </c>
    </row>
    <row r="59" spans="1:15" ht="78.75" customHeight="1">
      <c r="A59" s="80" t="s">
        <v>791</v>
      </c>
      <c r="B59" s="80" t="s">
        <v>792</v>
      </c>
      <c r="C59" s="80" t="s">
        <v>793</v>
      </c>
      <c r="D59" s="80" t="s">
        <v>794</v>
      </c>
      <c r="E59" s="80" t="s">
        <v>795</v>
      </c>
      <c r="F59" s="80" t="s">
        <v>36</v>
      </c>
      <c r="G59" s="89">
        <v>46175</v>
      </c>
      <c r="H59" s="80" t="s">
        <v>377</v>
      </c>
      <c r="I59" s="80" t="s">
        <v>36</v>
      </c>
      <c r="J59" s="89">
        <v>46179</v>
      </c>
      <c r="K59" s="80" t="s">
        <v>377</v>
      </c>
      <c r="L59" s="80" t="s">
        <v>36</v>
      </c>
      <c r="M59" s="89">
        <v>46185</v>
      </c>
      <c r="N59" s="80" t="s">
        <v>377</v>
      </c>
      <c r="O59" s="80" t="s">
        <v>796</v>
      </c>
    </row>
    <row r="60" spans="1:15" ht="15.75" customHeight="1">
      <c r="A60" s="197" t="s">
        <v>797</v>
      </c>
      <c r="B60" s="198"/>
      <c r="C60" s="198"/>
      <c r="D60" s="198"/>
      <c r="E60" s="198"/>
      <c r="F60" s="198"/>
      <c r="G60" s="198"/>
      <c r="H60" s="198"/>
      <c r="I60" s="198"/>
      <c r="J60" s="198"/>
      <c r="K60" s="198"/>
      <c r="L60" s="198"/>
      <c r="M60" s="198"/>
      <c r="N60" s="198"/>
      <c r="O60" s="199"/>
    </row>
    <row r="61" spans="1:15" ht="65.25" customHeight="1">
      <c r="A61" s="80" t="s">
        <v>798</v>
      </c>
      <c r="B61" s="80" t="s">
        <v>799</v>
      </c>
      <c r="C61" s="80" t="s">
        <v>800</v>
      </c>
      <c r="D61" s="80" t="s">
        <v>801</v>
      </c>
      <c r="E61" s="80" t="s">
        <v>802</v>
      </c>
      <c r="F61" s="80" t="s">
        <v>36</v>
      </c>
      <c r="G61" s="89">
        <v>46175</v>
      </c>
      <c r="H61" s="80" t="s">
        <v>377</v>
      </c>
      <c r="I61" s="80" t="s">
        <v>36</v>
      </c>
      <c r="J61" s="89">
        <v>46179</v>
      </c>
      <c r="K61" s="80" t="s">
        <v>377</v>
      </c>
      <c r="L61" s="80" t="s">
        <v>36</v>
      </c>
      <c r="M61" s="89">
        <v>46185</v>
      </c>
      <c r="N61" s="80" t="s">
        <v>377</v>
      </c>
      <c r="O61" s="80" t="s">
        <v>803</v>
      </c>
    </row>
    <row r="62" spans="1:15" ht="62.25" customHeight="1">
      <c r="A62" s="80" t="s">
        <v>804</v>
      </c>
      <c r="B62" s="80" t="s">
        <v>805</v>
      </c>
      <c r="C62" s="80" t="s">
        <v>806</v>
      </c>
      <c r="D62" s="80" t="s">
        <v>801</v>
      </c>
      <c r="E62" s="80" t="s">
        <v>807</v>
      </c>
      <c r="F62" s="80" t="s">
        <v>36</v>
      </c>
      <c r="G62" s="89">
        <v>46175</v>
      </c>
      <c r="H62" s="80" t="s">
        <v>377</v>
      </c>
      <c r="I62" s="80" t="s">
        <v>36</v>
      </c>
      <c r="J62" s="89">
        <v>46179</v>
      </c>
      <c r="K62" s="80" t="s">
        <v>377</v>
      </c>
      <c r="L62" s="80" t="s">
        <v>36</v>
      </c>
      <c r="M62" s="89">
        <v>46185</v>
      </c>
      <c r="N62" s="80" t="s">
        <v>377</v>
      </c>
      <c r="O62" s="80" t="s">
        <v>808</v>
      </c>
    </row>
    <row r="63" spans="1:15" ht="64.5" customHeight="1">
      <c r="A63" s="80" t="s">
        <v>809</v>
      </c>
      <c r="B63" s="80" t="s">
        <v>810</v>
      </c>
      <c r="C63" s="80" t="s">
        <v>811</v>
      </c>
      <c r="D63" s="80" t="s">
        <v>812</v>
      </c>
      <c r="E63" s="80" t="s">
        <v>813</v>
      </c>
      <c r="F63" s="80" t="s">
        <v>36</v>
      </c>
      <c r="G63" s="89">
        <v>46175</v>
      </c>
      <c r="H63" s="80" t="s">
        <v>377</v>
      </c>
      <c r="I63" s="80" t="s">
        <v>36</v>
      </c>
      <c r="J63" s="89">
        <v>46179</v>
      </c>
      <c r="K63" s="80" t="s">
        <v>377</v>
      </c>
      <c r="L63" s="80" t="s">
        <v>36</v>
      </c>
      <c r="M63" s="89">
        <v>46185</v>
      </c>
      <c r="N63" s="80" t="s">
        <v>377</v>
      </c>
      <c r="O63" s="80" t="s">
        <v>814</v>
      </c>
    </row>
    <row r="64" spans="1:15" ht="61.5" customHeight="1">
      <c r="A64" s="80" t="s">
        <v>815</v>
      </c>
      <c r="B64" s="80" t="s">
        <v>816</v>
      </c>
      <c r="C64" s="80" t="s">
        <v>817</v>
      </c>
      <c r="D64" s="80" t="s">
        <v>812</v>
      </c>
      <c r="E64" s="80" t="s">
        <v>818</v>
      </c>
      <c r="F64" s="80" t="s">
        <v>36</v>
      </c>
      <c r="G64" s="89">
        <v>46175</v>
      </c>
      <c r="H64" s="80" t="s">
        <v>377</v>
      </c>
      <c r="I64" s="80" t="s">
        <v>36</v>
      </c>
      <c r="J64" s="89">
        <v>46179</v>
      </c>
      <c r="K64" s="80" t="s">
        <v>377</v>
      </c>
      <c r="L64" s="80" t="s">
        <v>36</v>
      </c>
      <c r="M64" s="89">
        <v>46185</v>
      </c>
      <c r="N64" s="80" t="s">
        <v>377</v>
      </c>
      <c r="O64" s="80" t="s">
        <v>819</v>
      </c>
    </row>
    <row r="65" spans="1:15" ht="62.25" customHeight="1">
      <c r="A65" s="80" t="s">
        <v>820</v>
      </c>
      <c r="B65" s="80" t="s">
        <v>821</v>
      </c>
      <c r="C65" s="80" t="s">
        <v>822</v>
      </c>
      <c r="D65" s="80" t="s">
        <v>823</v>
      </c>
      <c r="E65" s="80" t="s">
        <v>824</v>
      </c>
      <c r="F65" s="80" t="s">
        <v>36</v>
      </c>
      <c r="G65" s="89">
        <v>46175</v>
      </c>
      <c r="H65" s="80" t="s">
        <v>377</v>
      </c>
      <c r="I65" s="80" t="s">
        <v>36</v>
      </c>
      <c r="J65" s="89">
        <v>46179</v>
      </c>
      <c r="K65" s="80" t="s">
        <v>377</v>
      </c>
      <c r="L65" s="80" t="s">
        <v>36</v>
      </c>
      <c r="M65" s="89">
        <v>46185</v>
      </c>
      <c r="N65" s="80" t="s">
        <v>377</v>
      </c>
      <c r="O65" s="80" t="s">
        <v>825</v>
      </c>
    </row>
    <row r="66" spans="1:15" ht="64.5" customHeight="1">
      <c r="A66" s="80" t="s">
        <v>826</v>
      </c>
      <c r="B66" s="80" t="s">
        <v>827</v>
      </c>
      <c r="C66" s="80" t="s">
        <v>828</v>
      </c>
      <c r="D66" s="80" t="s">
        <v>823</v>
      </c>
      <c r="E66" s="80" t="s">
        <v>829</v>
      </c>
      <c r="F66" s="80" t="s">
        <v>36</v>
      </c>
      <c r="G66" s="89">
        <v>46175</v>
      </c>
      <c r="H66" s="80" t="s">
        <v>377</v>
      </c>
      <c r="I66" s="80" t="s">
        <v>36</v>
      </c>
      <c r="J66" s="89">
        <v>46179</v>
      </c>
      <c r="K66" s="80" t="s">
        <v>377</v>
      </c>
      <c r="L66" s="80" t="s">
        <v>36</v>
      </c>
      <c r="M66" s="89">
        <v>46185</v>
      </c>
      <c r="N66" s="80" t="s">
        <v>377</v>
      </c>
      <c r="O66" s="80" t="s">
        <v>830</v>
      </c>
    </row>
    <row r="67" spans="1:15" ht="64.5" customHeight="1">
      <c r="A67" s="80" t="s">
        <v>831</v>
      </c>
      <c r="B67" s="80" t="s">
        <v>832</v>
      </c>
      <c r="C67" s="80" t="s">
        <v>833</v>
      </c>
      <c r="D67" s="80" t="s">
        <v>834</v>
      </c>
      <c r="E67" s="80" t="s">
        <v>835</v>
      </c>
      <c r="F67" s="80" t="s">
        <v>36</v>
      </c>
      <c r="G67" s="89">
        <v>46175</v>
      </c>
      <c r="H67" s="80" t="s">
        <v>377</v>
      </c>
      <c r="I67" s="80" t="s">
        <v>36</v>
      </c>
      <c r="J67" s="89">
        <v>46179</v>
      </c>
      <c r="K67" s="80" t="s">
        <v>377</v>
      </c>
      <c r="L67" s="80" t="s">
        <v>36</v>
      </c>
      <c r="M67" s="89">
        <v>46185</v>
      </c>
      <c r="N67" s="80" t="s">
        <v>377</v>
      </c>
      <c r="O67" s="80" t="s">
        <v>836</v>
      </c>
    </row>
  </sheetData>
  <mergeCells count="12">
    <mergeCell ref="A25:O25"/>
    <mergeCell ref="A31:O31"/>
    <mergeCell ref="B2:E2"/>
    <mergeCell ref="B3:E3"/>
    <mergeCell ref="B4:E4"/>
    <mergeCell ref="A11:O11"/>
    <mergeCell ref="A15:O15"/>
    <mergeCell ref="A47:O47"/>
    <mergeCell ref="A53:O53"/>
    <mergeCell ref="A60:O60"/>
    <mergeCell ref="A35:O35"/>
    <mergeCell ref="A41:O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1065"/>
  <sheetViews>
    <sheetView zoomScale="10" zoomScaleNormal="10" workbookViewId="0">
      <selection activeCell="Q24" sqref="Q24"/>
    </sheetView>
  </sheetViews>
  <sheetFormatPr defaultColWidth="12.5703125" defaultRowHeight="15.75" customHeight="1"/>
  <cols>
    <col min="2" max="2" width="20.5703125" customWidth="1"/>
    <col min="3" max="3" width="24.140625" customWidth="1"/>
    <col min="4" max="4" width="20.5703125" customWidth="1"/>
    <col min="5" max="5" width="21.28515625" customWidth="1"/>
    <col min="8" max="8" width="17.7109375" customWidth="1"/>
    <col min="10" max="10" width="15" customWidth="1"/>
    <col min="11" max="11" width="19.7109375" customWidth="1"/>
    <col min="14" max="14" width="20.28515625" customWidth="1"/>
  </cols>
  <sheetData>
    <row r="1" spans="1:28" ht="14.25">
      <c r="A1" s="10"/>
      <c r="B1" s="10"/>
      <c r="C1" s="10"/>
      <c r="D1" s="10"/>
      <c r="E1" s="10"/>
      <c r="F1" s="10"/>
      <c r="G1" s="10"/>
      <c r="H1" s="10"/>
      <c r="I1" s="10"/>
      <c r="J1" s="10"/>
      <c r="K1" s="10"/>
      <c r="L1" s="10"/>
      <c r="M1" s="10"/>
      <c r="N1" s="48"/>
      <c r="O1" s="10"/>
      <c r="P1" s="10"/>
    </row>
    <row r="2" spans="1:28" ht="14.25">
      <c r="A2" s="120" t="s">
        <v>46</v>
      </c>
      <c r="B2" s="162" t="s">
        <v>837</v>
      </c>
      <c r="C2" s="161"/>
      <c r="D2" s="161"/>
      <c r="E2" s="161"/>
      <c r="F2" s="10"/>
      <c r="G2" s="10"/>
      <c r="H2" s="10"/>
      <c r="I2" s="10"/>
      <c r="J2" s="10"/>
      <c r="K2" s="10"/>
      <c r="L2" s="10"/>
      <c r="M2" s="10"/>
      <c r="N2" s="48"/>
      <c r="O2" s="10"/>
      <c r="P2" s="10"/>
    </row>
    <row r="3" spans="1:28" ht="38.25">
      <c r="A3" s="120" t="s">
        <v>47</v>
      </c>
      <c r="B3" s="162" t="s">
        <v>838</v>
      </c>
      <c r="C3" s="161"/>
      <c r="D3" s="161"/>
      <c r="E3" s="161"/>
      <c r="F3" s="10"/>
      <c r="G3" s="10"/>
      <c r="H3" s="10"/>
      <c r="I3" s="10"/>
      <c r="J3" s="10"/>
      <c r="K3" s="10"/>
      <c r="L3" s="10"/>
      <c r="M3" s="10"/>
      <c r="N3" s="48"/>
      <c r="O3" s="10"/>
      <c r="P3" s="10"/>
    </row>
    <row r="4" spans="1:28" ht="25.5">
      <c r="A4" s="120" t="s">
        <v>48</v>
      </c>
      <c r="B4" s="160">
        <v>37</v>
      </c>
      <c r="C4" s="161"/>
      <c r="D4" s="161"/>
      <c r="E4" s="161"/>
      <c r="F4" s="10"/>
      <c r="G4" s="10"/>
      <c r="H4" s="10"/>
      <c r="I4" s="10"/>
      <c r="J4" s="10"/>
      <c r="K4" s="10"/>
      <c r="L4" s="10"/>
      <c r="M4" s="10"/>
      <c r="N4" s="48"/>
      <c r="O4" s="10"/>
      <c r="P4" s="10"/>
    </row>
    <row r="5" spans="1:28" ht="25.5">
      <c r="A5" s="122" t="s">
        <v>49</v>
      </c>
      <c r="B5" s="122" t="s">
        <v>36</v>
      </c>
      <c r="C5" s="122" t="s">
        <v>37</v>
      </c>
      <c r="D5" s="122" t="s">
        <v>38</v>
      </c>
      <c r="E5" s="122" t="s">
        <v>39</v>
      </c>
      <c r="F5" s="13"/>
      <c r="G5" s="10"/>
      <c r="H5" s="10"/>
      <c r="I5" s="10"/>
      <c r="J5" s="10"/>
      <c r="K5" s="10"/>
      <c r="L5" s="10"/>
      <c r="M5" s="10"/>
      <c r="N5" s="48"/>
      <c r="O5" s="10"/>
      <c r="P5" s="10"/>
    </row>
    <row r="6" spans="1:28" ht="14.25">
      <c r="A6" s="122" t="s">
        <v>50</v>
      </c>
      <c r="B6" s="123">
        <v>33</v>
      </c>
      <c r="C6" s="123">
        <v>4</v>
      </c>
      <c r="D6" s="123">
        <f>COUNTIF(F:F, D5)</f>
        <v>0</v>
      </c>
      <c r="E6" s="124">
        <v>0</v>
      </c>
      <c r="F6" s="10"/>
      <c r="G6" s="10"/>
      <c r="H6" s="10"/>
      <c r="I6" s="10"/>
      <c r="J6" s="10"/>
      <c r="K6" s="10"/>
      <c r="L6" s="10"/>
      <c r="M6" s="10"/>
      <c r="N6" s="48"/>
      <c r="O6" s="10"/>
      <c r="P6" s="10"/>
    </row>
    <row r="7" spans="1:28" ht="14.25">
      <c r="A7" s="122" t="s">
        <v>51</v>
      </c>
      <c r="B7" s="123">
        <v>33</v>
      </c>
      <c r="C7" s="123">
        <v>4</v>
      </c>
      <c r="D7" s="123">
        <v>0</v>
      </c>
      <c r="E7" s="124">
        <v>0</v>
      </c>
      <c r="F7" s="10"/>
      <c r="G7" s="10"/>
      <c r="H7" s="10"/>
      <c r="I7" s="10"/>
      <c r="J7" s="10"/>
      <c r="K7" s="10"/>
      <c r="L7" s="10"/>
      <c r="M7" s="10"/>
      <c r="N7" s="48"/>
      <c r="O7" s="10"/>
      <c r="P7" s="10"/>
    </row>
    <row r="8" spans="1:28" ht="14.25">
      <c r="A8" s="122" t="s">
        <v>52</v>
      </c>
      <c r="B8" s="123">
        <v>33</v>
      </c>
      <c r="C8" s="123">
        <v>4</v>
      </c>
      <c r="D8" s="123">
        <f>COUNTIF(L:L, D5)</f>
        <v>0</v>
      </c>
      <c r="E8" s="124">
        <v>0</v>
      </c>
      <c r="F8" s="10"/>
      <c r="G8" s="10"/>
      <c r="H8" s="10"/>
      <c r="I8" s="10"/>
      <c r="J8" s="10"/>
      <c r="K8" s="10"/>
      <c r="L8" s="10"/>
      <c r="M8" s="10"/>
      <c r="N8" s="48"/>
      <c r="O8" s="10"/>
      <c r="P8" s="10"/>
    </row>
    <row r="9" spans="1:28" ht="14.25">
      <c r="A9" s="10"/>
      <c r="B9" s="10"/>
      <c r="C9" s="10"/>
      <c r="D9" s="10"/>
      <c r="E9" s="10"/>
      <c r="F9" s="10"/>
      <c r="G9" s="10"/>
      <c r="H9" s="10"/>
      <c r="I9" s="10"/>
      <c r="J9" s="10"/>
      <c r="K9" s="10"/>
      <c r="L9" s="10"/>
      <c r="M9" s="10"/>
      <c r="N9" s="48"/>
      <c r="O9" s="10"/>
      <c r="P9" s="10"/>
    </row>
    <row r="10" spans="1:28" ht="28.5" customHeight="1">
      <c r="A10" s="42" t="s">
        <v>53</v>
      </c>
      <c r="B10" s="42" t="s">
        <v>54</v>
      </c>
      <c r="C10" s="42" t="s">
        <v>55</v>
      </c>
      <c r="D10" s="42" t="s">
        <v>56</v>
      </c>
      <c r="E10" s="42" t="s">
        <v>57</v>
      </c>
      <c r="F10" s="42" t="s">
        <v>50</v>
      </c>
      <c r="G10" s="42" t="s">
        <v>58</v>
      </c>
      <c r="H10" s="42" t="s">
        <v>59</v>
      </c>
      <c r="I10" s="42" t="s">
        <v>51</v>
      </c>
      <c r="J10" s="42" t="s">
        <v>58</v>
      </c>
      <c r="K10" s="42" t="s">
        <v>59</v>
      </c>
      <c r="L10" s="42" t="s">
        <v>52</v>
      </c>
      <c r="M10" s="42" t="s">
        <v>58</v>
      </c>
      <c r="N10" s="42" t="s">
        <v>59</v>
      </c>
      <c r="O10" s="42" t="s">
        <v>60</v>
      </c>
      <c r="P10" s="43"/>
      <c r="Q10" s="44"/>
      <c r="R10" s="44"/>
      <c r="S10" s="44"/>
      <c r="T10" s="44"/>
      <c r="U10" s="44"/>
      <c r="V10" s="44"/>
      <c r="W10" s="44"/>
      <c r="X10" s="44"/>
      <c r="Y10" s="44"/>
      <c r="Z10" s="44"/>
      <c r="AA10" s="44"/>
      <c r="AB10" s="44"/>
    </row>
    <row r="11" spans="1:28" ht="14.25">
      <c r="A11" s="83" t="s">
        <v>839</v>
      </c>
      <c r="B11" s="84"/>
      <c r="C11" s="85"/>
      <c r="D11" s="85"/>
      <c r="E11" s="85"/>
      <c r="F11" s="86"/>
      <c r="G11" s="86"/>
      <c r="H11" s="86"/>
      <c r="I11" s="86"/>
      <c r="J11" s="86"/>
      <c r="K11" s="86"/>
      <c r="L11" s="86"/>
      <c r="M11" s="86"/>
      <c r="N11" s="86"/>
      <c r="O11" s="87"/>
      <c r="P11" s="10"/>
    </row>
    <row r="12" spans="1:28" ht="96.75" customHeight="1">
      <c r="A12" s="80" t="s">
        <v>840</v>
      </c>
      <c r="B12" s="80" t="s">
        <v>841</v>
      </c>
      <c r="C12" s="80" t="s">
        <v>842</v>
      </c>
      <c r="D12" s="80" t="s">
        <v>843</v>
      </c>
      <c r="E12" s="80" t="s">
        <v>844</v>
      </c>
      <c r="F12" s="80" t="s">
        <v>36</v>
      </c>
      <c r="G12" s="89">
        <v>46179</v>
      </c>
      <c r="H12" s="80" t="s">
        <v>377</v>
      </c>
      <c r="I12" s="80" t="s">
        <v>36</v>
      </c>
      <c r="J12" s="89">
        <v>46183</v>
      </c>
      <c r="K12" s="80" t="s">
        <v>377</v>
      </c>
      <c r="L12" s="80" t="s">
        <v>36</v>
      </c>
      <c r="M12" s="89">
        <v>46185</v>
      </c>
      <c r="N12" s="80" t="s">
        <v>377</v>
      </c>
      <c r="O12" s="80" t="s">
        <v>845</v>
      </c>
      <c r="P12" s="48"/>
    </row>
    <row r="13" spans="1:28" ht="88.5" customHeight="1">
      <c r="A13" s="80" t="s">
        <v>846</v>
      </c>
      <c r="B13" s="80" t="s">
        <v>847</v>
      </c>
      <c r="C13" s="80" t="s">
        <v>848</v>
      </c>
      <c r="D13" s="80" t="s">
        <v>849</v>
      </c>
      <c r="E13" s="80" t="s">
        <v>850</v>
      </c>
      <c r="F13" s="80" t="s">
        <v>36</v>
      </c>
      <c r="G13" s="89">
        <v>46179</v>
      </c>
      <c r="H13" s="80" t="s">
        <v>377</v>
      </c>
      <c r="I13" s="80" t="s">
        <v>36</v>
      </c>
      <c r="J13" s="89">
        <v>46183</v>
      </c>
      <c r="K13" s="80" t="s">
        <v>377</v>
      </c>
      <c r="L13" s="80" t="s">
        <v>36</v>
      </c>
      <c r="M13" s="89">
        <v>46185</v>
      </c>
      <c r="N13" s="80" t="s">
        <v>377</v>
      </c>
      <c r="O13" s="80" t="s">
        <v>851</v>
      </c>
      <c r="P13" s="48"/>
    </row>
    <row r="14" spans="1:28" ht="84" customHeight="1">
      <c r="A14" s="80" t="s">
        <v>852</v>
      </c>
      <c r="B14" s="80" t="s">
        <v>853</v>
      </c>
      <c r="C14" s="80" t="s">
        <v>854</v>
      </c>
      <c r="D14" s="80" t="s">
        <v>855</v>
      </c>
      <c r="E14" s="80" t="s">
        <v>856</v>
      </c>
      <c r="F14" s="80" t="s">
        <v>36</v>
      </c>
      <c r="G14" s="89">
        <v>46179</v>
      </c>
      <c r="H14" s="80" t="s">
        <v>377</v>
      </c>
      <c r="I14" s="80" t="s">
        <v>36</v>
      </c>
      <c r="J14" s="89">
        <v>46183</v>
      </c>
      <c r="K14" s="80" t="s">
        <v>377</v>
      </c>
      <c r="L14" s="80" t="s">
        <v>36</v>
      </c>
      <c r="M14" s="89">
        <v>46185</v>
      </c>
      <c r="N14" s="80" t="s">
        <v>377</v>
      </c>
      <c r="O14" s="80" t="s">
        <v>857</v>
      </c>
      <c r="P14" s="48"/>
    </row>
    <row r="15" spans="1:28" ht="96" customHeight="1">
      <c r="A15" s="80" t="s">
        <v>858</v>
      </c>
      <c r="B15" s="80" t="s">
        <v>859</v>
      </c>
      <c r="C15" s="80" t="s">
        <v>860</v>
      </c>
      <c r="D15" s="80" t="s">
        <v>861</v>
      </c>
      <c r="E15" s="80" t="s">
        <v>862</v>
      </c>
      <c r="F15" s="80" t="s">
        <v>36</v>
      </c>
      <c r="G15" s="89">
        <v>46179</v>
      </c>
      <c r="H15" s="80" t="s">
        <v>377</v>
      </c>
      <c r="I15" s="80" t="s">
        <v>36</v>
      </c>
      <c r="J15" s="89">
        <v>46183</v>
      </c>
      <c r="K15" s="80" t="s">
        <v>377</v>
      </c>
      <c r="L15" s="80" t="s">
        <v>36</v>
      </c>
      <c r="M15" s="89">
        <v>46185</v>
      </c>
      <c r="N15" s="80" t="s">
        <v>377</v>
      </c>
      <c r="O15" s="80" t="s">
        <v>863</v>
      </c>
      <c r="P15" s="48"/>
    </row>
    <row r="16" spans="1:28" ht="82.5" customHeight="1">
      <c r="A16" s="80" t="s">
        <v>864</v>
      </c>
      <c r="B16" s="80" t="s">
        <v>865</v>
      </c>
      <c r="C16" s="80" t="s">
        <v>866</v>
      </c>
      <c r="D16" s="80" t="s">
        <v>867</v>
      </c>
      <c r="E16" s="80" t="s">
        <v>499</v>
      </c>
      <c r="F16" s="80" t="s">
        <v>36</v>
      </c>
      <c r="G16" s="89">
        <v>46179</v>
      </c>
      <c r="H16" s="80" t="s">
        <v>377</v>
      </c>
      <c r="I16" s="80" t="s">
        <v>36</v>
      </c>
      <c r="J16" s="89">
        <v>46183</v>
      </c>
      <c r="K16" s="80" t="s">
        <v>377</v>
      </c>
      <c r="L16" s="80" t="s">
        <v>36</v>
      </c>
      <c r="M16" s="89">
        <v>46185</v>
      </c>
      <c r="N16" s="80" t="s">
        <v>377</v>
      </c>
      <c r="O16" s="80" t="s">
        <v>630</v>
      </c>
      <c r="P16" s="49"/>
      <c r="Q16" s="49"/>
      <c r="R16" s="49"/>
      <c r="S16" s="49"/>
      <c r="T16" s="49"/>
      <c r="U16" s="49"/>
      <c r="V16" s="49"/>
      <c r="W16" s="49"/>
      <c r="X16" s="49"/>
      <c r="Y16" s="49"/>
      <c r="Z16" s="49"/>
      <c r="AA16" s="49"/>
      <c r="AB16" s="49"/>
    </row>
    <row r="17" spans="1:28" ht="95.25" customHeight="1">
      <c r="A17" s="80" t="s">
        <v>868</v>
      </c>
      <c r="B17" s="80" t="s">
        <v>869</v>
      </c>
      <c r="C17" s="80" t="s">
        <v>870</v>
      </c>
      <c r="D17" s="80" t="s">
        <v>871</v>
      </c>
      <c r="E17" s="80" t="s">
        <v>499</v>
      </c>
      <c r="F17" s="80" t="s">
        <v>36</v>
      </c>
      <c r="G17" s="89">
        <v>46179</v>
      </c>
      <c r="H17" s="80" t="s">
        <v>377</v>
      </c>
      <c r="I17" s="80" t="s">
        <v>36</v>
      </c>
      <c r="J17" s="89">
        <v>46183</v>
      </c>
      <c r="K17" s="80" t="s">
        <v>377</v>
      </c>
      <c r="L17" s="80" t="s">
        <v>36</v>
      </c>
      <c r="M17" s="89">
        <v>46185</v>
      </c>
      <c r="N17" s="80" t="s">
        <v>377</v>
      </c>
      <c r="O17" s="80" t="s">
        <v>872</v>
      </c>
      <c r="P17" s="49"/>
      <c r="Q17" s="49"/>
      <c r="R17" s="49"/>
      <c r="S17" s="49"/>
      <c r="T17" s="49"/>
      <c r="U17" s="49"/>
      <c r="V17" s="49"/>
      <c r="W17" s="49"/>
      <c r="X17" s="49"/>
      <c r="Y17" s="49"/>
      <c r="Z17" s="49"/>
      <c r="AA17" s="49"/>
      <c r="AB17" s="49"/>
    </row>
    <row r="18" spans="1:28" ht="14.25">
      <c r="A18" s="83" t="s">
        <v>873</v>
      </c>
      <c r="B18" s="84"/>
      <c r="C18" s="85"/>
      <c r="D18" s="85"/>
      <c r="E18" s="85"/>
      <c r="F18" s="86"/>
      <c r="G18" s="86"/>
      <c r="H18" s="86"/>
      <c r="I18" s="86"/>
      <c r="J18" s="86"/>
      <c r="K18" s="86"/>
      <c r="L18" s="86"/>
      <c r="M18" s="86"/>
      <c r="N18" s="86"/>
      <c r="O18" s="87"/>
      <c r="P18" s="10"/>
    </row>
    <row r="19" spans="1:28" ht="71.25">
      <c r="A19" s="80" t="s">
        <v>874</v>
      </c>
      <c r="B19" s="80" t="s">
        <v>875</v>
      </c>
      <c r="C19" s="80" t="s">
        <v>876</v>
      </c>
      <c r="D19" s="80" t="s">
        <v>877</v>
      </c>
      <c r="E19" s="80" t="s">
        <v>878</v>
      </c>
      <c r="F19" s="80" t="s">
        <v>36</v>
      </c>
      <c r="G19" s="89">
        <v>46179</v>
      </c>
      <c r="H19" s="80" t="s">
        <v>377</v>
      </c>
      <c r="I19" s="80" t="s">
        <v>36</v>
      </c>
      <c r="J19" s="89">
        <v>46183</v>
      </c>
      <c r="K19" s="80" t="s">
        <v>377</v>
      </c>
      <c r="L19" s="80" t="s">
        <v>36</v>
      </c>
      <c r="M19" s="89">
        <v>46185</v>
      </c>
      <c r="N19" s="80" t="s">
        <v>377</v>
      </c>
      <c r="O19" s="80" t="s">
        <v>879</v>
      </c>
      <c r="P19" s="48"/>
    </row>
    <row r="20" spans="1:28" ht="57">
      <c r="A20" s="80" t="s">
        <v>880</v>
      </c>
      <c r="B20" s="80" t="s">
        <v>881</v>
      </c>
      <c r="C20" s="80" t="s">
        <v>882</v>
      </c>
      <c r="D20" s="80" t="s">
        <v>639</v>
      </c>
      <c r="E20" s="80" t="s">
        <v>883</v>
      </c>
      <c r="F20" s="80" t="s">
        <v>36</v>
      </c>
      <c r="G20" s="89">
        <v>46179</v>
      </c>
      <c r="H20" s="80" t="s">
        <v>377</v>
      </c>
      <c r="I20" s="80" t="s">
        <v>36</v>
      </c>
      <c r="J20" s="89">
        <v>46183</v>
      </c>
      <c r="K20" s="80" t="s">
        <v>377</v>
      </c>
      <c r="L20" s="80" t="s">
        <v>36</v>
      </c>
      <c r="M20" s="89">
        <v>46185</v>
      </c>
      <c r="N20" s="80" t="s">
        <v>377</v>
      </c>
      <c r="O20" s="80" t="s">
        <v>884</v>
      </c>
      <c r="P20" s="48"/>
    </row>
    <row r="21" spans="1:28" ht="95.25" customHeight="1">
      <c r="A21" s="80" t="s">
        <v>885</v>
      </c>
      <c r="B21" s="80" t="s">
        <v>886</v>
      </c>
      <c r="C21" s="80" t="s">
        <v>887</v>
      </c>
      <c r="D21" s="80" t="s">
        <v>888</v>
      </c>
      <c r="E21" s="80" t="s">
        <v>889</v>
      </c>
      <c r="F21" s="80" t="s">
        <v>36</v>
      </c>
      <c r="G21" s="89">
        <v>46179</v>
      </c>
      <c r="H21" s="80" t="s">
        <v>377</v>
      </c>
      <c r="I21" s="80" t="s">
        <v>36</v>
      </c>
      <c r="J21" s="89">
        <v>46183</v>
      </c>
      <c r="K21" s="80" t="s">
        <v>377</v>
      </c>
      <c r="L21" s="80" t="s">
        <v>36</v>
      </c>
      <c r="M21" s="89">
        <v>46185</v>
      </c>
      <c r="N21" s="80" t="s">
        <v>377</v>
      </c>
      <c r="O21" s="80" t="s">
        <v>890</v>
      </c>
      <c r="P21" s="48"/>
    </row>
    <row r="22" spans="1:28" ht="95.25" customHeight="1">
      <c r="A22" s="80" t="s">
        <v>891</v>
      </c>
      <c r="B22" s="82" t="s">
        <v>906</v>
      </c>
      <c r="C22" s="80" t="s">
        <v>892</v>
      </c>
      <c r="D22" s="80" t="s">
        <v>893</v>
      </c>
      <c r="E22" s="80" t="s">
        <v>894</v>
      </c>
      <c r="F22" s="80" t="s">
        <v>36</v>
      </c>
      <c r="G22" s="89">
        <v>46179</v>
      </c>
      <c r="H22" s="80" t="s">
        <v>377</v>
      </c>
      <c r="I22" s="80" t="s">
        <v>36</v>
      </c>
      <c r="J22" s="89">
        <v>46183</v>
      </c>
      <c r="K22" s="80" t="s">
        <v>377</v>
      </c>
      <c r="L22" s="80" t="s">
        <v>36</v>
      </c>
      <c r="M22" s="89">
        <v>46185</v>
      </c>
      <c r="N22" s="80" t="s">
        <v>377</v>
      </c>
      <c r="O22" s="82" t="s">
        <v>895</v>
      </c>
      <c r="P22" s="53"/>
    </row>
    <row r="23" spans="1:28" ht="95.25" customHeight="1">
      <c r="A23" s="80" t="s">
        <v>896</v>
      </c>
      <c r="B23" s="82" t="s">
        <v>907</v>
      </c>
      <c r="C23" s="80" t="s">
        <v>897</v>
      </c>
      <c r="D23" s="80" t="s">
        <v>898</v>
      </c>
      <c r="E23" s="80" t="s">
        <v>899</v>
      </c>
      <c r="F23" s="80" t="s">
        <v>36</v>
      </c>
      <c r="G23" s="89">
        <v>46179</v>
      </c>
      <c r="H23" s="80" t="s">
        <v>377</v>
      </c>
      <c r="I23" s="80" t="s">
        <v>36</v>
      </c>
      <c r="J23" s="89">
        <v>46183</v>
      </c>
      <c r="K23" s="80" t="s">
        <v>377</v>
      </c>
      <c r="L23" s="80" t="s">
        <v>36</v>
      </c>
      <c r="M23" s="89">
        <v>46185</v>
      </c>
      <c r="N23" s="80" t="s">
        <v>377</v>
      </c>
      <c r="O23" s="82" t="s">
        <v>900</v>
      </c>
      <c r="P23" s="53"/>
    </row>
    <row r="24" spans="1:28" ht="95.25" customHeight="1">
      <c r="A24" s="80" t="s">
        <v>901</v>
      </c>
      <c r="B24" s="82" t="s">
        <v>908</v>
      </c>
      <c r="C24" s="80" t="s">
        <v>902</v>
      </c>
      <c r="D24" s="80" t="s">
        <v>903</v>
      </c>
      <c r="E24" s="80" t="s">
        <v>904</v>
      </c>
      <c r="F24" s="80" t="s">
        <v>36</v>
      </c>
      <c r="G24" s="89">
        <v>46179</v>
      </c>
      <c r="H24" s="80" t="s">
        <v>377</v>
      </c>
      <c r="I24" s="80" t="s">
        <v>36</v>
      </c>
      <c r="J24" s="89">
        <v>46183</v>
      </c>
      <c r="K24" s="80" t="s">
        <v>377</v>
      </c>
      <c r="L24" s="80" t="s">
        <v>36</v>
      </c>
      <c r="M24" s="89">
        <v>46185</v>
      </c>
      <c r="N24" s="80" t="s">
        <v>377</v>
      </c>
      <c r="O24" s="82" t="s">
        <v>905</v>
      </c>
      <c r="P24" s="53"/>
    </row>
    <row r="25" spans="1:28" ht="14.25">
      <c r="A25" s="83" t="s">
        <v>909</v>
      </c>
      <c r="B25" s="84"/>
      <c r="C25" s="85"/>
      <c r="D25" s="85"/>
      <c r="E25" s="85"/>
      <c r="F25" s="86"/>
      <c r="G25" s="86"/>
      <c r="H25" s="86"/>
      <c r="I25" s="86"/>
      <c r="J25" s="86"/>
      <c r="K25" s="86"/>
      <c r="L25" s="86"/>
      <c r="M25" s="86"/>
      <c r="N25" s="86"/>
      <c r="O25" s="87"/>
      <c r="P25" s="10"/>
    </row>
    <row r="26" spans="1:28" ht="89.25" customHeight="1">
      <c r="A26" s="80" t="s">
        <v>910</v>
      </c>
      <c r="B26" s="80" t="s">
        <v>911</v>
      </c>
      <c r="C26" s="80" t="s">
        <v>912</v>
      </c>
      <c r="D26" s="80" t="s">
        <v>913</v>
      </c>
      <c r="E26" s="80" t="s">
        <v>914</v>
      </c>
      <c r="F26" s="80" t="s">
        <v>36</v>
      </c>
      <c r="G26" s="89">
        <v>46179</v>
      </c>
      <c r="H26" s="80" t="s">
        <v>377</v>
      </c>
      <c r="I26" s="80" t="s">
        <v>36</v>
      </c>
      <c r="J26" s="89">
        <v>46183</v>
      </c>
      <c r="K26" s="80" t="s">
        <v>377</v>
      </c>
      <c r="L26" s="80" t="s">
        <v>36</v>
      </c>
      <c r="M26" s="89">
        <v>46185</v>
      </c>
      <c r="N26" s="80" t="s">
        <v>377</v>
      </c>
      <c r="O26" s="80" t="s">
        <v>915</v>
      </c>
      <c r="P26" s="48"/>
    </row>
    <row r="27" spans="1:28" ht="102" customHeight="1">
      <c r="A27" s="80" t="s">
        <v>916</v>
      </c>
      <c r="B27" s="80" t="s">
        <v>917</v>
      </c>
      <c r="C27" s="80" t="s">
        <v>918</v>
      </c>
      <c r="D27" s="80" t="s">
        <v>919</v>
      </c>
      <c r="E27" s="80" t="s">
        <v>920</v>
      </c>
      <c r="F27" s="80" t="s">
        <v>36</v>
      </c>
      <c r="G27" s="89">
        <v>46179</v>
      </c>
      <c r="H27" s="80" t="s">
        <v>377</v>
      </c>
      <c r="I27" s="80" t="s">
        <v>36</v>
      </c>
      <c r="J27" s="89">
        <v>46183</v>
      </c>
      <c r="K27" s="80" t="s">
        <v>377</v>
      </c>
      <c r="L27" s="80" t="s">
        <v>36</v>
      </c>
      <c r="M27" s="89">
        <v>46185</v>
      </c>
      <c r="N27" s="80" t="s">
        <v>377</v>
      </c>
      <c r="O27" s="80" t="s">
        <v>921</v>
      </c>
      <c r="P27" s="48"/>
    </row>
    <row r="28" spans="1:28" ht="102" customHeight="1">
      <c r="A28" s="80" t="s">
        <v>922</v>
      </c>
      <c r="B28" s="80" t="s">
        <v>923</v>
      </c>
      <c r="C28" s="80" t="s">
        <v>924</v>
      </c>
      <c r="D28" s="80" t="s">
        <v>925</v>
      </c>
      <c r="E28" s="80" t="s">
        <v>926</v>
      </c>
      <c r="F28" s="80" t="s">
        <v>36</v>
      </c>
      <c r="G28" s="89">
        <v>46179</v>
      </c>
      <c r="H28" s="80" t="s">
        <v>377</v>
      </c>
      <c r="I28" s="80" t="s">
        <v>36</v>
      </c>
      <c r="J28" s="89">
        <v>46183</v>
      </c>
      <c r="K28" s="80" t="s">
        <v>377</v>
      </c>
      <c r="L28" s="80" t="s">
        <v>36</v>
      </c>
      <c r="M28" s="89">
        <v>46185</v>
      </c>
      <c r="N28" s="80" t="s">
        <v>377</v>
      </c>
      <c r="O28" s="80" t="s">
        <v>927</v>
      </c>
      <c r="P28" s="53"/>
    </row>
    <row r="29" spans="1:28" ht="14.25">
      <c r="A29" s="83" t="s">
        <v>928</v>
      </c>
      <c r="B29" s="84"/>
      <c r="C29" s="85"/>
      <c r="D29" s="85"/>
      <c r="E29" s="85"/>
      <c r="F29" s="86"/>
      <c r="G29" s="86"/>
      <c r="H29" s="86"/>
      <c r="I29" s="86"/>
      <c r="J29" s="86"/>
      <c r="K29" s="86"/>
      <c r="L29" s="86"/>
      <c r="M29" s="86"/>
      <c r="N29" s="86"/>
      <c r="O29" s="87"/>
      <c r="P29" s="10"/>
    </row>
    <row r="30" spans="1:28" ht="57">
      <c r="A30" s="80" t="s">
        <v>929</v>
      </c>
      <c r="B30" s="80" t="s">
        <v>930</v>
      </c>
      <c r="C30" s="80" t="s">
        <v>931</v>
      </c>
      <c r="D30" s="80" t="s">
        <v>932</v>
      </c>
      <c r="E30" s="80" t="s">
        <v>933</v>
      </c>
      <c r="F30" s="80" t="s">
        <v>36</v>
      </c>
      <c r="G30" s="89">
        <v>46179</v>
      </c>
      <c r="H30" s="80" t="s">
        <v>377</v>
      </c>
      <c r="I30" s="80" t="s">
        <v>36</v>
      </c>
      <c r="J30" s="89">
        <v>46183</v>
      </c>
      <c r="K30" s="80" t="s">
        <v>377</v>
      </c>
      <c r="L30" s="80" t="s">
        <v>36</v>
      </c>
      <c r="M30" s="89">
        <v>46185</v>
      </c>
      <c r="N30" s="80" t="s">
        <v>377</v>
      </c>
      <c r="O30" s="80" t="s">
        <v>934</v>
      </c>
      <c r="P30" s="48"/>
    </row>
    <row r="31" spans="1:28" ht="57">
      <c r="A31" s="80" t="s">
        <v>935</v>
      </c>
      <c r="B31" s="80" t="s">
        <v>936</v>
      </c>
      <c r="C31" s="80" t="s">
        <v>937</v>
      </c>
      <c r="D31" s="80" t="s">
        <v>938</v>
      </c>
      <c r="E31" s="80" t="s">
        <v>939</v>
      </c>
      <c r="F31" s="80" t="s">
        <v>36</v>
      </c>
      <c r="G31" s="89">
        <v>46179</v>
      </c>
      <c r="H31" s="80" t="s">
        <v>377</v>
      </c>
      <c r="I31" s="80" t="s">
        <v>36</v>
      </c>
      <c r="J31" s="89">
        <v>46183</v>
      </c>
      <c r="K31" s="80" t="s">
        <v>377</v>
      </c>
      <c r="L31" s="80" t="s">
        <v>36</v>
      </c>
      <c r="M31" s="89">
        <v>46185</v>
      </c>
      <c r="N31" s="80" t="s">
        <v>377</v>
      </c>
      <c r="O31" s="80" t="s">
        <v>940</v>
      </c>
      <c r="P31" s="48"/>
    </row>
    <row r="32" spans="1:28" ht="14.25">
      <c r="A32" s="83" t="s">
        <v>941</v>
      </c>
      <c r="B32" s="84"/>
      <c r="C32" s="85"/>
      <c r="D32" s="85"/>
      <c r="E32" s="85"/>
      <c r="F32" s="86"/>
      <c r="G32" s="86"/>
      <c r="H32" s="86"/>
      <c r="I32" s="86"/>
      <c r="J32" s="86"/>
      <c r="K32" s="86"/>
      <c r="L32" s="86"/>
      <c r="M32" s="86"/>
      <c r="N32" s="86"/>
      <c r="O32" s="87"/>
      <c r="P32" s="10"/>
    </row>
    <row r="33" spans="1:16" ht="77.25" customHeight="1">
      <c r="A33" s="80" t="s">
        <v>942</v>
      </c>
      <c r="B33" s="80" t="s">
        <v>943</v>
      </c>
      <c r="C33" s="80" t="s">
        <v>944</v>
      </c>
      <c r="D33" s="80" t="s">
        <v>945</v>
      </c>
      <c r="E33" s="80" t="s">
        <v>520</v>
      </c>
      <c r="F33" s="80" t="s">
        <v>36</v>
      </c>
      <c r="G33" s="89">
        <v>46179</v>
      </c>
      <c r="H33" s="80" t="s">
        <v>377</v>
      </c>
      <c r="I33" s="80" t="s">
        <v>36</v>
      </c>
      <c r="J33" s="89">
        <v>46183</v>
      </c>
      <c r="K33" s="80" t="s">
        <v>377</v>
      </c>
      <c r="L33" s="80" t="s">
        <v>36</v>
      </c>
      <c r="M33" s="89">
        <v>46185</v>
      </c>
      <c r="N33" s="80" t="s">
        <v>377</v>
      </c>
      <c r="O33" s="80" t="s">
        <v>946</v>
      </c>
      <c r="P33" s="48"/>
    </row>
    <row r="34" spans="1:16" ht="77.25" customHeight="1">
      <c r="A34" s="80" t="s">
        <v>947</v>
      </c>
      <c r="B34" s="80" t="s">
        <v>948</v>
      </c>
      <c r="C34" s="80" t="s">
        <v>949</v>
      </c>
      <c r="D34" s="80" t="s">
        <v>950</v>
      </c>
      <c r="E34" s="80" t="s">
        <v>951</v>
      </c>
      <c r="F34" s="80" t="s">
        <v>36</v>
      </c>
      <c r="G34" s="89">
        <v>46179</v>
      </c>
      <c r="H34" s="80" t="s">
        <v>377</v>
      </c>
      <c r="I34" s="80" t="s">
        <v>36</v>
      </c>
      <c r="J34" s="89">
        <v>46183</v>
      </c>
      <c r="K34" s="80" t="s">
        <v>377</v>
      </c>
      <c r="L34" s="80" t="s">
        <v>36</v>
      </c>
      <c r="M34" s="89">
        <v>46185</v>
      </c>
      <c r="N34" s="80" t="s">
        <v>377</v>
      </c>
      <c r="O34" s="80" t="s">
        <v>952</v>
      </c>
      <c r="P34" s="48"/>
    </row>
    <row r="35" spans="1:16" ht="88.5" customHeight="1">
      <c r="A35" s="80" t="s">
        <v>953</v>
      </c>
      <c r="B35" s="80" t="s">
        <v>954</v>
      </c>
      <c r="C35" s="80" t="s">
        <v>955</v>
      </c>
      <c r="D35" s="80" t="s">
        <v>956</v>
      </c>
      <c r="E35" s="80" t="s">
        <v>520</v>
      </c>
      <c r="F35" s="80" t="s">
        <v>36</v>
      </c>
      <c r="G35" s="89">
        <v>46179</v>
      </c>
      <c r="H35" s="80" t="s">
        <v>377</v>
      </c>
      <c r="I35" s="80" t="s">
        <v>36</v>
      </c>
      <c r="J35" s="89">
        <v>46183</v>
      </c>
      <c r="K35" s="80" t="s">
        <v>377</v>
      </c>
      <c r="L35" s="80" t="s">
        <v>36</v>
      </c>
      <c r="M35" s="89">
        <v>46185</v>
      </c>
      <c r="N35" s="80" t="s">
        <v>377</v>
      </c>
      <c r="O35" s="80" t="s">
        <v>957</v>
      </c>
      <c r="P35" s="48"/>
    </row>
    <row r="36" spans="1:16" ht="90.75" customHeight="1">
      <c r="A36" s="80" t="s">
        <v>958</v>
      </c>
      <c r="B36" s="80" t="s">
        <v>959</v>
      </c>
      <c r="C36" s="80" t="s">
        <v>960</v>
      </c>
      <c r="D36" s="80" t="s">
        <v>539</v>
      </c>
      <c r="E36" s="80" t="s">
        <v>520</v>
      </c>
      <c r="F36" s="80" t="s">
        <v>36</v>
      </c>
      <c r="G36" s="89">
        <v>46179</v>
      </c>
      <c r="H36" s="80" t="s">
        <v>377</v>
      </c>
      <c r="I36" s="80" t="s">
        <v>36</v>
      </c>
      <c r="J36" s="89">
        <v>46183</v>
      </c>
      <c r="K36" s="80" t="s">
        <v>377</v>
      </c>
      <c r="L36" s="80" t="s">
        <v>36</v>
      </c>
      <c r="M36" s="89">
        <v>46185</v>
      </c>
      <c r="N36" s="80" t="s">
        <v>377</v>
      </c>
      <c r="O36" s="80" t="s">
        <v>742</v>
      </c>
      <c r="P36" s="53"/>
    </row>
    <row r="37" spans="1:16" ht="14.25">
      <c r="A37" s="83" t="s">
        <v>961</v>
      </c>
      <c r="B37" s="84"/>
      <c r="C37" s="85"/>
      <c r="D37" s="85"/>
      <c r="E37" s="85"/>
      <c r="F37" s="86"/>
      <c r="G37" s="86"/>
      <c r="H37" s="86"/>
      <c r="I37" s="86"/>
      <c r="J37" s="86"/>
      <c r="K37" s="86"/>
      <c r="L37" s="86"/>
      <c r="M37" s="86"/>
      <c r="N37" s="86"/>
      <c r="O37" s="87"/>
      <c r="P37" s="10"/>
    </row>
    <row r="38" spans="1:16" ht="72" customHeight="1">
      <c r="A38" s="80" t="s">
        <v>962</v>
      </c>
      <c r="B38" s="80" t="s">
        <v>963</v>
      </c>
      <c r="C38" s="80" t="s">
        <v>964</v>
      </c>
      <c r="D38" s="80" t="s">
        <v>965</v>
      </c>
      <c r="E38" s="80" t="s">
        <v>446</v>
      </c>
      <c r="F38" s="80" t="s">
        <v>36</v>
      </c>
      <c r="G38" s="89">
        <v>46179</v>
      </c>
      <c r="H38" s="80" t="s">
        <v>377</v>
      </c>
      <c r="I38" s="80" t="s">
        <v>36</v>
      </c>
      <c r="J38" s="89">
        <v>46183</v>
      </c>
      <c r="K38" s="80" t="s">
        <v>377</v>
      </c>
      <c r="L38" s="80" t="s">
        <v>36</v>
      </c>
      <c r="M38" s="89">
        <v>46185</v>
      </c>
      <c r="N38" s="80" t="s">
        <v>377</v>
      </c>
      <c r="O38" s="80" t="s">
        <v>966</v>
      </c>
      <c r="P38" s="48"/>
    </row>
    <row r="39" spans="1:16" ht="90" customHeight="1">
      <c r="A39" s="80" t="s">
        <v>967</v>
      </c>
      <c r="B39" s="80" t="s">
        <v>968</v>
      </c>
      <c r="C39" s="80" t="s">
        <v>969</v>
      </c>
      <c r="D39" s="80" t="s">
        <v>970</v>
      </c>
      <c r="E39" s="80" t="s">
        <v>951</v>
      </c>
      <c r="F39" s="80" t="s">
        <v>36</v>
      </c>
      <c r="G39" s="89">
        <v>46179</v>
      </c>
      <c r="H39" s="80" t="s">
        <v>377</v>
      </c>
      <c r="I39" s="80" t="s">
        <v>36</v>
      </c>
      <c r="J39" s="89">
        <v>46183</v>
      </c>
      <c r="K39" s="80" t="s">
        <v>377</v>
      </c>
      <c r="L39" s="80" t="s">
        <v>36</v>
      </c>
      <c r="M39" s="89">
        <v>46185</v>
      </c>
      <c r="N39" s="80" t="s">
        <v>377</v>
      </c>
      <c r="O39" s="80" t="s">
        <v>971</v>
      </c>
      <c r="P39" s="48"/>
    </row>
    <row r="40" spans="1:16" ht="97.5" customHeight="1">
      <c r="A40" s="80" t="s">
        <v>972</v>
      </c>
      <c r="B40" s="80" t="s">
        <v>973</v>
      </c>
      <c r="C40" s="80" t="s">
        <v>974</v>
      </c>
      <c r="D40" s="80" t="s">
        <v>975</v>
      </c>
      <c r="E40" s="80" t="s">
        <v>446</v>
      </c>
      <c r="F40" s="80" t="s">
        <v>36</v>
      </c>
      <c r="G40" s="89">
        <v>46179</v>
      </c>
      <c r="H40" s="80" t="s">
        <v>377</v>
      </c>
      <c r="I40" s="80" t="s">
        <v>36</v>
      </c>
      <c r="J40" s="89">
        <v>46183</v>
      </c>
      <c r="K40" s="80" t="s">
        <v>377</v>
      </c>
      <c r="L40" s="80" t="s">
        <v>36</v>
      </c>
      <c r="M40" s="89">
        <v>46185</v>
      </c>
      <c r="N40" s="80" t="s">
        <v>377</v>
      </c>
      <c r="O40" s="80" t="s">
        <v>976</v>
      </c>
      <c r="P40" s="53"/>
    </row>
    <row r="41" spans="1:16" ht="14.25">
      <c r="A41" s="83" t="s">
        <v>977</v>
      </c>
      <c r="B41" s="84"/>
      <c r="C41" s="85"/>
      <c r="D41" s="85"/>
      <c r="E41" s="85"/>
      <c r="F41" s="86"/>
      <c r="G41" s="86"/>
      <c r="H41" s="86"/>
      <c r="I41" s="86"/>
      <c r="J41" s="86"/>
      <c r="K41" s="86"/>
      <c r="L41" s="86"/>
      <c r="M41" s="86"/>
      <c r="N41" s="86"/>
      <c r="O41" s="87"/>
      <c r="P41" s="10"/>
    </row>
    <row r="42" spans="1:16" ht="88.5" customHeight="1">
      <c r="A42" s="80" t="s">
        <v>978</v>
      </c>
      <c r="B42" s="80" t="s">
        <v>979</v>
      </c>
      <c r="C42" s="80" t="s">
        <v>980</v>
      </c>
      <c r="D42" s="80" t="s">
        <v>981</v>
      </c>
      <c r="E42" s="80" t="s">
        <v>982</v>
      </c>
      <c r="F42" s="80" t="s">
        <v>36</v>
      </c>
      <c r="G42" s="89">
        <v>46179</v>
      </c>
      <c r="H42" s="80" t="s">
        <v>377</v>
      </c>
      <c r="I42" s="80" t="s">
        <v>36</v>
      </c>
      <c r="J42" s="89">
        <v>46183</v>
      </c>
      <c r="K42" s="80" t="s">
        <v>377</v>
      </c>
      <c r="L42" s="80" t="s">
        <v>36</v>
      </c>
      <c r="M42" s="89">
        <v>46185</v>
      </c>
      <c r="N42" s="80" t="s">
        <v>377</v>
      </c>
      <c r="O42" s="80" t="s">
        <v>983</v>
      </c>
      <c r="P42" s="48"/>
    </row>
    <row r="43" spans="1:16" ht="99.75" customHeight="1">
      <c r="A43" s="80" t="s">
        <v>984</v>
      </c>
      <c r="B43" s="80" t="s">
        <v>985</v>
      </c>
      <c r="C43" s="80" t="s">
        <v>986</v>
      </c>
      <c r="D43" s="80" t="s">
        <v>987</v>
      </c>
      <c r="E43" s="80" t="s">
        <v>64</v>
      </c>
      <c r="F43" s="80" t="s">
        <v>36</v>
      </c>
      <c r="G43" s="89">
        <v>46179</v>
      </c>
      <c r="H43" s="80" t="s">
        <v>377</v>
      </c>
      <c r="I43" s="80" t="s">
        <v>36</v>
      </c>
      <c r="J43" s="89">
        <v>46183</v>
      </c>
      <c r="K43" s="80" t="s">
        <v>377</v>
      </c>
      <c r="L43" s="80" t="s">
        <v>36</v>
      </c>
      <c r="M43" s="89">
        <v>46185</v>
      </c>
      <c r="N43" s="80" t="s">
        <v>377</v>
      </c>
      <c r="O43" s="80" t="s">
        <v>988</v>
      </c>
      <c r="P43" s="48"/>
    </row>
    <row r="44" spans="1:16" ht="14.25">
      <c r="A44" s="83" t="s">
        <v>989</v>
      </c>
      <c r="B44" s="84"/>
      <c r="C44" s="85"/>
      <c r="D44" s="85"/>
      <c r="E44" s="85"/>
      <c r="F44" s="86"/>
      <c r="G44" s="86"/>
      <c r="H44" s="86"/>
      <c r="I44" s="86"/>
      <c r="J44" s="86"/>
      <c r="K44" s="86"/>
      <c r="L44" s="86"/>
      <c r="M44" s="86"/>
      <c r="N44" s="86"/>
      <c r="O44" s="87"/>
      <c r="P44" s="10"/>
    </row>
    <row r="45" spans="1:16" ht="82.5" customHeight="1">
      <c r="A45" s="80" t="s">
        <v>990</v>
      </c>
      <c r="B45" s="80" t="s">
        <v>991</v>
      </c>
      <c r="C45" s="80" t="s">
        <v>992</v>
      </c>
      <c r="D45" s="80" t="s">
        <v>993</v>
      </c>
      <c r="E45" s="80" t="s">
        <v>994</v>
      </c>
      <c r="F45" s="80" t="s">
        <v>36</v>
      </c>
      <c r="G45" s="89">
        <v>46179</v>
      </c>
      <c r="H45" s="80" t="s">
        <v>377</v>
      </c>
      <c r="I45" s="80" t="s">
        <v>36</v>
      </c>
      <c r="J45" s="89">
        <v>46183</v>
      </c>
      <c r="K45" s="80" t="s">
        <v>377</v>
      </c>
      <c r="L45" s="80" t="s">
        <v>36</v>
      </c>
      <c r="M45" s="89">
        <v>46185</v>
      </c>
      <c r="N45" s="80" t="s">
        <v>377</v>
      </c>
      <c r="O45" s="80" t="s">
        <v>995</v>
      </c>
      <c r="P45" s="48"/>
    </row>
    <row r="46" spans="1:16" ht="94.5" customHeight="1">
      <c r="A46" s="80" t="s">
        <v>996</v>
      </c>
      <c r="B46" s="80" t="s">
        <v>997</v>
      </c>
      <c r="C46" s="80" t="s">
        <v>998</v>
      </c>
      <c r="D46" s="80" t="s">
        <v>999</v>
      </c>
      <c r="E46" s="80" t="s">
        <v>1000</v>
      </c>
      <c r="F46" s="80" t="s">
        <v>36</v>
      </c>
      <c r="G46" s="89">
        <v>46179</v>
      </c>
      <c r="H46" s="80" t="s">
        <v>377</v>
      </c>
      <c r="I46" s="80" t="s">
        <v>36</v>
      </c>
      <c r="J46" s="89">
        <v>46183</v>
      </c>
      <c r="K46" s="80" t="s">
        <v>377</v>
      </c>
      <c r="L46" s="80" t="s">
        <v>36</v>
      </c>
      <c r="M46" s="89">
        <v>46185</v>
      </c>
      <c r="N46" s="80" t="s">
        <v>377</v>
      </c>
      <c r="O46" s="80" t="s">
        <v>1001</v>
      </c>
      <c r="P46" s="53"/>
    </row>
    <row r="47" spans="1:16" ht="90.75" customHeight="1">
      <c r="A47" s="80" t="s">
        <v>1002</v>
      </c>
      <c r="B47" s="80" t="s">
        <v>1003</v>
      </c>
      <c r="C47" s="80" t="s">
        <v>1004</v>
      </c>
      <c r="D47" s="80" t="s">
        <v>1005</v>
      </c>
      <c r="E47" s="80" t="s">
        <v>1006</v>
      </c>
      <c r="F47" s="80" t="s">
        <v>36</v>
      </c>
      <c r="G47" s="89">
        <v>46179</v>
      </c>
      <c r="H47" s="80" t="s">
        <v>377</v>
      </c>
      <c r="I47" s="80" t="s">
        <v>36</v>
      </c>
      <c r="J47" s="89">
        <v>46183</v>
      </c>
      <c r="K47" s="80" t="s">
        <v>377</v>
      </c>
      <c r="L47" s="80" t="s">
        <v>36</v>
      </c>
      <c r="M47" s="89">
        <v>46185</v>
      </c>
      <c r="N47" s="80" t="s">
        <v>377</v>
      </c>
      <c r="O47" s="80" t="s">
        <v>1007</v>
      </c>
      <c r="P47" s="53"/>
    </row>
    <row r="48" spans="1:16" ht="87" customHeight="1">
      <c r="A48" s="80" t="s">
        <v>1008</v>
      </c>
      <c r="B48" s="80" t="s">
        <v>1009</v>
      </c>
      <c r="C48" s="80" t="s">
        <v>1010</v>
      </c>
      <c r="D48" s="80" t="s">
        <v>539</v>
      </c>
      <c r="E48" s="80" t="s">
        <v>64</v>
      </c>
      <c r="F48" s="80" t="s">
        <v>36</v>
      </c>
      <c r="G48" s="89">
        <v>46179</v>
      </c>
      <c r="H48" s="80" t="s">
        <v>377</v>
      </c>
      <c r="I48" s="80" t="s">
        <v>36</v>
      </c>
      <c r="J48" s="89">
        <v>46183</v>
      </c>
      <c r="K48" s="80" t="s">
        <v>377</v>
      </c>
      <c r="L48" s="80" t="s">
        <v>36</v>
      </c>
      <c r="M48" s="89">
        <v>46185</v>
      </c>
      <c r="N48" s="80" t="s">
        <v>377</v>
      </c>
      <c r="O48" s="80" t="s">
        <v>742</v>
      </c>
      <c r="P48" s="53"/>
    </row>
    <row r="49" spans="1:16" ht="14.25">
      <c r="A49" s="83" t="s">
        <v>1011</v>
      </c>
      <c r="B49" s="84"/>
      <c r="C49" s="85"/>
      <c r="D49" s="85"/>
      <c r="E49" s="85"/>
      <c r="F49" s="86"/>
      <c r="G49" s="86"/>
      <c r="H49" s="86"/>
      <c r="I49" s="86"/>
      <c r="J49" s="86"/>
      <c r="K49" s="86"/>
      <c r="L49" s="86"/>
      <c r="M49" s="86"/>
      <c r="N49" s="86"/>
      <c r="O49" s="87"/>
      <c r="P49" s="10"/>
    </row>
    <row r="50" spans="1:16" ht="171">
      <c r="A50" s="80" t="s">
        <v>1012</v>
      </c>
      <c r="B50" s="82" t="s">
        <v>1024</v>
      </c>
      <c r="C50" s="80" t="s">
        <v>1013</v>
      </c>
      <c r="D50" s="82" t="s">
        <v>1025</v>
      </c>
      <c r="E50" s="80" t="s">
        <v>1014</v>
      </c>
      <c r="F50" s="82" t="s">
        <v>37</v>
      </c>
      <c r="G50" s="89">
        <v>46179</v>
      </c>
      <c r="H50" s="80" t="s">
        <v>377</v>
      </c>
      <c r="I50" s="82" t="s">
        <v>37</v>
      </c>
      <c r="J50" s="89">
        <v>46183</v>
      </c>
      <c r="K50" s="80" t="s">
        <v>377</v>
      </c>
      <c r="L50" s="82" t="s">
        <v>37</v>
      </c>
      <c r="M50" s="89">
        <v>46185</v>
      </c>
      <c r="N50" s="80" t="s">
        <v>377</v>
      </c>
      <c r="O50" s="80" t="s">
        <v>1026</v>
      </c>
      <c r="P50" s="48"/>
    </row>
    <row r="51" spans="1:16" ht="171">
      <c r="A51" s="80" t="s">
        <v>1015</v>
      </c>
      <c r="B51" s="82" t="s">
        <v>1027</v>
      </c>
      <c r="C51" s="80" t="s">
        <v>1016</v>
      </c>
      <c r="D51" s="82" t="s">
        <v>1028</v>
      </c>
      <c r="E51" s="80" t="s">
        <v>1017</v>
      </c>
      <c r="F51" s="82" t="s">
        <v>37</v>
      </c>
      <c r="G51" s="89">
        <v>46179</v>
      </c>
      <c r="H51" s="80" t="s">
        <v>377</v>
      </c>
      <c r="I51" s="82" t="s">
        <v>37</v>
      </c>
      <c r="J51" s="89">
        <v>46183</v>
      </c>
      <c r="K51" s="80" t="s">
        <v>377</v>
      </c>
      <c r="L51" s="82" t="s">
        <v>37</v>
      </c>
      <c r="M51" s="89">
        <v>46185</v>
      </c>
      <c r="N51" s="80" t="s">
        <v>377</v>
      </c>
      <c r="O51" s="80" t="s">
        <v>1029</v>
      </c>
      <c r="P51" s="53"/>
    </row>
    <row r="52" spans="1:16" ht="171">
      <c r="A52" s="80" t="s">
        <v>1018</v>
      </c>
      <c r="B52" s="82" t="s">
        <v>1030</v>
      </c>
      <c r="C52" s="80" t="s">
        <v>1019</v>
      </c>
      <c r="D52" s="82" t="s">
        <v>1031</v>
      </c>
      <c r="E52" s="80" t="s">
        <v>1020</v>
      </c>
      <c r="F52" s="82" t="s">
        <v>37</v>
      </c>
      <c r="G52" s="89">
        <v>46179</v>
      </c>
      <c r="H52" s="80" t="s">
        <v>377</v>
      </c>
      <c r="I52" s="82" t="s">
        <v>37</v>
      </c>
      <c r="J52" s="89">
        <v>46183</v>
      </c>
      <c r="K52" s="80" t="s">
        <v>377</v>
      </c>
      <c r="L52" s="82" t="s">
        <v>37</v>
      </c>
      <c r="M52" s="89">
        <v>46185</v>
      </c>
      <c r="N52" s="80" t="s">
        <v>377</v>
      </c>
      <c r="O52" s="80" t="s">
        <v>1032</v>
      </c>
      <c r="P52" s="53"/>
    </row>
    <row r="53" spans="1:16" ht="156.75">
      <c r="A53" s="80" t="s">
        <v>1021</v>
      </c>
      <c r="B53" s="82" t="s">
        <v>1033</v>
      </c>
      <c r="C53" s="80" t="s">
        <v>1022</v>
      </c>
      <c r="D53" s="82" t="s">
        <v>1034</v>
      </c>
      <c r="E53" s="80" t="s">
        <v>1023</v>
      </c>
      <c r="F53" s="82" t="s">
        <v>37</v>
      </c>
      <c r="G53" s="89">
        <v>46179</v>
      </c>
      <c r="H53" s="80" t="s">
        <v>377</v>
      </c>
      <c r="I53" s="82" t="s">
        <v>37</v>
      </c>
      <c r="J53" s="89">
        <v>46183</v>
      </c>
      <c r="K53" s="80" t="s">
        <v>377</v>
      </c>
      <c r="L53" s="82" t="s">
        <v>37</v>
      </c>
      <c r="M53" s="89">
        <v>46185</v>
      </c>
      <c r="N53" s="80" t="s">
        <v>377</v>
      </c>
      <c r="O53" s="80" t="s">
        <v>1035</v>
      </c>
      <c r="P53" s="53"/>
    </row>
    <row r="54" spans="1:16" ht="14.25">
      <c r="A54" s="83" t="s">
        <v>1036</v>
      </c>
      <c r="B54" s="84"/>
      <c r="C54" s="85"/>
      <c r="D54" s="85"/>
      <c r="E54" s="85"/>
      <c r="F54" s="86"/>
      <c r="G54" s="86"/>
      <c r="H54" s="86"/>
      <c r="I54" s="86"/>
      <c r="J54" s="86"/>
      <c r="K54" s="86"/>
      <c r="L54" s="86"/>
      <c r="M54" s="86"/>
      <c r="N54" s="86"/>
      <c r="O54" s="87"/>
      <c r="P54" s="10"/>
    </row>
    <row r="55" spans="1:16" ht="128.25">
      <c r="A55" s="80" t="s">
        <v>1037</v>
      </c>
      <c r="B55" s="82" t="s">
        <v>1050</v>
      </c>
      <c r="C55" s="80" t="s">
        <v>1038</v>
      </c>
      <c r="D55" s="80" t="s">
        <v>1039</v>
      </c>
      <c r="E55" s="80" t="s">
        <v>1040</v>
      </c>
      <c r="F55" s="80" t="s">
        <v>36</v>
      </c>
      <c r="G55" s="89">
        <v>46179</v>
      </c>
      <c r="H55" s="80" t="s">
        <v>377</v>
      </c>
      <c r="I55" s="80" t="s">
        <v>36</v>
      </c>
      <c r="J55" s="89">
        <v>46183</v>
      </c>
      <c r="K55" s="80" t="s">
        <v>377</v>
      </c>
      <c r="L55" s="80" t="s">
        <v>36</v>
      </c>
      <c r="M55" s="89">
        <v>46185</v>
      </c>
      <c r="N55" s="80" t="s">
        <v>377</v>
      </c>
      <c r="O55" s="82" t="s">
        <v>1041</v>
      </c>
      <c r="P55" s="48"/>
    </row>
    <row r="56" spans="1:16" ht="85.5">
      <c r="A56" s="80" t="s">
        <v>1042</v>
      </c>
      <c r="B56" s="82" t="s">
        <v>1051</v>
      </c>
      <c r="C56" s="80" t="s">
        <v>1043</v>
      </c>
      <c r="D56" s="80" t="s">
        <v>1044</v>
      </c>
      <c r="E56" s="80" t="s">
        <v>456</v>
      </c>
      <c r="F56" s="80" t="s">
        <v>36</v>
      </c>
      <c r="G56" s="89">
        <v>46179</v>
      </c>
      <c r="H56" s="80" t="s">
        <v>377</v>
      </c>
      <c r="I56" s="80" t="s">
        <v>36</v>
      </c>
      <c r="J56" s="89">
        <v>46183</v>
      </c>
      <c r="K56" s="80" t="s">
        <v>377</v>
      </c>
      <c r="L56" s="80" t="s">
        <v>36</v>
      </c>
      <c r="M56" s="89">
        <v>46185</v>
      </c>
      <c r="N56" s="80" t="s">
        <v>377</v>
      </c>
      <c r="O56" s="80" t="s">
        <v>1045</v>
      </c>
      <c r="P56" s="48"/>
    </row>
    <row r="57" spans="1:16" ht="71.25">
      <c r="A57" s="80" t="s">
        <v>1046</v>
      </c>
      <c r="B57" s="82" t="s">
        <v>1052</v>
      </c>
      <c r="C57" s="80" t="s">
        <v>1047</v>
      </c>
      <c r="D57" s="80" t="s">
        <v>1048</v>
      </c>
      <c r="E57" s="80" t="s">
        <v>456</v>
      </c>
      <c r="F57" s="80" t="s">
        <v>36</v>
      </c>
      <c r="G57" s="89">
        <v>46179</v>
      </c>
      <c r="H57" s="80" t="s">
        <v>377</v>
      </c>
      <c r="I57" s="80" t="s">
        <v>36</v>
      </c>
      <c r="J57" s="89">
        <v>46183</v>
      </c>
      <c r="K57" s="80" t="s">
        <v>377</v>
      </c>
      <c r="L57" s="80" t="s">
        <v>36</v>
      </c>
      <c r="M57" s="89">
        <v>46185</v>
      </c>
      <c r="N57" s="80" t="s">
        <v>377</v>
      </c>
      <c r="O57" s="80" t="s">
        <v>1049</v>
      </c>
      <c r="P57" s="48"/>
    </row>
    <row r="58" spans="1:16" ht="13.5">
      <c r="A58" s="113"/>
      <c r="B58" s="113"/>
      <c r="C58" s="113"/>
      <c r="D58" s="113"/>
      <c r="E58" s="113"/>
      <c r="F58" s="113"/>
      <c r="G58" s="116"/>
      <c r="H58" s="113"/>
      <c r="I58" s="113"/>
      <c r="J58" s="116"/>
      <c r="K58" s="113"/>
      <c r="L58" s="113"/>
      <c r="M58" s="116"/>
      <c r="N58" s="117"/>
      <c r="O58" s="135"/>
      <c r="P58" s="48"/>
    </row>
    <row r="59" spans="1:16" ht="14.25">
      <c r="A59" s="136"/>
      <c r="B59" s="114"/>
      <c r="C59" s="117"/>
      <c r="D59" s="117"/>
      <c r="E59" s="117"/>
      <c r="F59" s="137"/>
      <c r="G59" s="137"/>
      <c r="H59" s="137"/>
      <c r="I59" s="137"/>
      <c r="J59" s="137"/>
      <c r="K59" s="137"/>
      <c r="L59" s="137"/>
      <c r="M59" s="137"/>
      <c r="N59" s="137"/>
      <c r="O59" s="135"/>
      <c r="P59" s="10"/>
    </row>
    <row r="60" spans="1:16" ht="13.5">
      <c r="A60" s="113"/>
      <c r="B60" s="113"/>
      <c r="C60" s="113"/>
      <c r="D60" s="113"/>
      <c r="E60" s="113"/>
      <c r="F60" s="113"/>
      <c r="G60" s="116"/>
      <c r="H60" s="113"/>
      <c r="I60" s="113"/>
      <c r="J60" s="116"/>
      <c r="K60" s="113"/>
      <c r="L60" s="113"/>
      <c r="M60" s="116"/>
      <c r="N60" s="117"/>
      <c r="O60" s="135"/>
      <c r="P60" s="48"/>
    </row>
    <row r="61" spans="1:16" ht="14.25">
      <c r="A61" s="136"/>
      <c r="B61" s="114"/>
      <c r="C61" s="117"/>
      <c r="D61" s="117"/>
      <c r="E61" s="117"/>
      <c r="F61" s="137"/>
      <c r="G61" s="137"/>
      <c r="H61" s="137"/>
      <c r="I61" s="137"/>
      <c r="J61" s="137"/>
      <c r="K61" s="137"/>
      <c r="L61" s="137"/>
      <c r="M61" s="137"/>
      <c r="N61" s="137"/>
      <c r="O61" s="135"/>
      <c r="P61" s="10"/>
    </row>
    <row r="62" spans="1:16" ht="13.5">
      <c r="A62" s="113"/>
      <c r="B62" s="113"/>
      <c r="C62" s="113"/>
      <c r="D62" s="113"/>
      <c r="E62" s="113"/>
      <c r="F62" s="113"/>
      <c r="G62" s="116"/>
      <c r="H62" s="113"/>
      <c r="I62" s="113"/>
      <c r="J62" s="116"/>
      <c r="K62" s="113"/>
      <c r="L62" s="113"/>
      <c r="M62" s="116"/>
      <c r="N62" s="117"/>
      <c r="O62" s="135"/>
      <c r="P62" s="48"/>
    </row>
    <row r="63" spans="1:16" ht="13.5">
      <c r="A63" s="113"/>
      <c r="B63" s="113"/>
      <c r="C63" s="113"/>
      <c r="D63" s="113"/>
      <c r="E63" s="113"/>
      <c r="F63" s="113"/>
      <c r="G63" s="116"/>
      <c r="H63" s="113"/>
      <c r="I63" s="113"/>
      <c r="J63" s="116"/>
      <c r="K63" s="113"/>
      <c r="L63" s="113"/>
      <c r="M63" s="116"/>
      <c r="N63" s="117"/>
      <c r="O63" s="135"/>
      <c r="P63" s="48"/>
    </row>
    <row r="64" spans="1:16" ht="14.25">
      <c r="A64" s="136"/>
      <c r="B64" s="114"/>
      <c r="C64" s="117"/>
      <c r="D64" s="117"/>
      <c r="E64" s="117"/>
      <c r="F64" s="137"/>
      <c r="G64" s="137"/>
      <c r="H64" s="137"/>
      <c r="I64" s="137"/>
      <c r="J64" s="137"/>
      <c r="K64" s="137"/>
      <c r="L64" s="137"/>
      <c r="M64" s="137"/>
      <c r="N64" s="137"/>
      <c r="O64" s="135"/>
      <c r="P64" s="10"/>
    </row>
    <row r="65" spans="1:16" ht="13.5">
      <c r="A65" s="113"/>
      <c r="B65" s="113"/>
      <c r="C65" s="113"/>
      <c r="D65" s="113"/>
      <c r="E65" s="113"/>
      <c r="F65" s="113"/>
      <c r="G65" s="116"/>
      <c r="H65" s="113"/>
      <c r="I65" s="113"/>
      <c r="J65" s="116"/>
      <c r="K65" s="113"/>
      <c r="L65" s="113"/>
      <c r="M65" s="116"/>
      <c r="N65" s="117"/>
      <c r="O65" s="135"/>
      <c r="P65" s="48"/>
    </row>
    <row r="66" spans="1:16" ht="13.5">
      <c r="A66" s="113"/>
      <c r="B66" s="113"/>
      <c r="C66" s="113"/>
      <c r="D66" s="113"/>
      <c r="E66" s="113"/>
      <c r="F66" s="113"/>
      <c r="G66" s="116"/>
      <c r="H66" s="113"/>
      <c r="I66" s="113"/>
      <c r="J66" s="116"/>
      <c r="K66" s="113"/>
      <c r="L66" s="113"/>
      <c r="M66" s="116"/>
      <c r="N66" s="117"/>
      <c r="O66" s="135"/>
      <c r="P66" s="48"/>
    </row>
    <row r="67" spans="1:16" ht="14.25">
      <c r="A67" s="136"/>
      <c r="B67" s="114"/>
      <c r="C67" s="117"/>
      <c r="D67" s="117"/>
      <c r="E67" s="117"/>
      <c r="F67" s="137"/>
      <c r="G67" s="137"/>
      <c r="H67" s="137"/>
      <c r="I67" s="137"/>
      <c r="J67" s="137"/>
      <c r="K67" s="137"/>
      <c r="L67" s="137"/>
      <c r="M67" s="137"/>
      <c r="N67" s="137"/>
      <c r="O67" s="135"/>
      <c r="P67" s="10"/>
    </row>
    <row r="68" spans="1:16" ht="13.5">
      <c r="A68" s="113"/>
      <c r="B68" s="113"/>
      <c r="C68" s="113"/>
      <c r="D68" s="113"/>
      <c r="E68" s="113"/>
      <c r="F68" s="113"/>
      <c r="G68" s="116"/>
      <c r="H68" s="113"/>
      <c r="I68" s="113"/>
      <c r="J68" s="116"/>
      <c r="K68" s="113"/>
      <c r="L68" s="113"/>
      <c r="M68" s="116"/>
      <c r="N68" s="117"/>
      <c r="O68" s="135"/>
      <c r="P68" s="48"/>
    </row>
    <row r="69" spans="1:16" ht="14.25">
      <c r="A69" s="136"/>
      <c r="B69" s="114"/>
      <c r="C69" s="117"/>
      <c r="D69" s="117"/>
      <c r="E69" s="117"/>
      <c r="F69" s="137"/>
      <c r="G69" s="137"/>
      <c r="H69" s="137"/>
      <c r="I69" s="137"/>
      <c r="J69" s="137"/>
      <c r="K69" s="137"/>
      <c r="L69" s="137"/>
      <c r="M69" s="137"/>
      <c r="N69" s="137"/>
      <c r="O69" s="135"/>
      <c r="P69" s="10"/>
    </row>
    <row r="70" spans="1:16" ht="13.5">
      <c r="A70" s="113"/>
      <c r="B70" s="113"/>
      <c r="C70" s="113"/>
      <c r="D70" s="113"/>
      <c r="E70" s="113"/>
      <c r="F70" s="113"/>
      <c r="G70" s="116"/>
      <c r="H70" s="113"/>
      <c r="I70" s="113"/>
      <c r="J70" s="116"/>
      <c r="K70" s="113"/>
      <c r="L70" s="113"/>
      <c r="M70" s="116"/>
      <c r="N70" s="117"/>
      <c r="O70" s="135"/>
      <c r="P70" s="48"/>
    </row>
    <row r="71" spans="1:16" ht="14.25">
      <c r="A71" s="136"/>
      <c r="B71" s="114"/>
      <c r="C71" s="117"/>
      <c r="D71" s="117"/>
      <c r="E71" s="117"/>
      <c r="F71" s="137"/>
      <c r="G71" s="137"/>
      <c r="H71" s="137"/>
      <c r="I71" s="137"/>
      <c r="J71" s="137"/>
      <c r="K71" s="137"/>
      <c r="L71" s="137"/>
      <c r="M71" s="137"/>
      <c r="N71" s="137"/>
      <c r="O71" s="135"/>
      <c r="P71" s="10"/>
    </row>
    <row r="72" spans="1:16" ht="13.5">
      <c r="A72" s="113"/>
      <c r="B72" s="113"/>
      <c r="C72" s="113"/>
      <c r="D72" s="113"/>
      <c r="E72" s="113"/>
      <c r="F72" s="113"/>
      <c r="G72" s="116"/>
      <c r="H72" s="113"/>
      <c r="I72" s="113"/>
      <c r="J72" s="116"/>
      <c r="K72" s="113"/>
      <c r="L72" s="113"/>
      <c r="M72" s="116"/>
      <c r="N72" s="117"/>
      <c r="O72" s="135"/>
      <c r="P72" s="48"/>
    </row>
    <row r="73" spans="1:16" ht="13.5">
      <c r="A73" s="113"/>
      <c r="B73" s="113"/>
      <c r="C73" s="113"/>
      <c r="D73" s="113"/>
      <c r="E73" s="113"/>
      <c r="F73" s="113"/>
      <c r="G73" s="116"/>
      <c r="H73" s="113"/>
      <c r="I73" s="113"/>
      <c r="J73" s="116"/>
      <c r="K73" s="113"/>
      <c r="L73" s="113"/>
      <c r="M73" s="116"/>
      <c r="N73" s="117"/>
      <c r="O73" s="135"/>
      <c r="P73" s="53"/>
    </row>
    <row r="74" spans="1:16" ht="14.25">
      <c r="A74" s="136"/>
      <c r="B74" s="114"/>
      <c r="C74" s="117"/>
      <c r="D74" s="117"/>
      <c r="E74" s="117"/>
      <c r="F74" s="137"/>
      <c r="G74" s="137"/>
      <c r="H74" s="137"/>
      <c r="I74" s="137"/>
      <c r="J74" s="137"/>
      <c r="K74" s="137"/>
      <c r="L74" s="137"/>
      <c r="M74" s="137"/>
      <c r="N74" s="137"/>
      <c r="O74" s="135"/>
      <c r="P74" s="10"/>
    </row>
    <row r="75" spans="1:16" ht="13.5">
      <c r="A75" s="113"/>
      <c r="B75" s="113"/>
      <c r="C75" s="113"/>
      <c r="D75" s="113"/>
      <c r="E75" s="113"/>
      <c r="F75" s="113"/>
      <c r="G75" s="116"/>
      <c r="H75" s="113"/>
      <c r="I75" s="113"/>
      <c r="J75" s="116"/>
      <c r="K75" s="113"/>
      <c r="L75" s="113"/>
      <c r="M75" s="116"/>
      <c r="N75" s="117"/>
      <c r="O75" s="135"/>
      <c r="P75" s="48"/>
    </row>
    <row r="76" spans="1:16" ht="13.5">
      <c r="A76" s="113"/>
      <c r="B76" s="113"/>
      <c r="C76" s="113"/>
      <c r="D76" s="113"/>
      <c r="E76" s="113"/>
      <c r="F76" s="113"/>
      <c r="G76" s="116"/>
      <c r="H76" s="113"/>
      <c r="I76" s="113"/>
      <c r="J76" s="116"/>
      <c r="K76" s="113"/>
      <c r="L76" s="113"/>
      <c r="M76" s="116"/>
      <c r="N76" s="117"/>
      <c r="O76" s="135"/>
      <c r="P76" s="48"/>
    </row>
    <row r="77" spans="1:16" ht="15" customHeight="1">
      <c r="A77" s="136"/>
      <c r="B77" s="114"/>
      <c r="C77" s="117"/>
      <c r="D77" s="117"/>
      <c r="E77" s="117"/>
      <c r="F77" s="137"/>
      <c r="G77" s="137"/>
      <c r="H77" s="137"/>
      <c r="I77" s="137"/>
      <c r="J77" s="137"/>
      <c r="K77" s="137"/>
      <c r="L77" s="137"/>
      <c r="M77" s="137"/>
      <c r="N77" s="137"/>
      <c r="O77" s="135"/>
      <c r="P77" s="10"/>
    </row>
    <row r="78" spans="1:16" ht="13.5">
      <c r="A78" s="113"/>
      <c r="B78" s="113"/>
      <c r="C78" s="113"/>
      <c r="D78" s="113"/>
      <c r="E78" s="113"/>
      <c r="F78" s="113"/>
      <c r="G78" s="116"/>
      <c r="H78" s="113"/>
      <c r="I78" s="113"/>
      <c r="J78" s="116"/>
      <c r="K78" s="113"/>
      <c r="L78" s="113"/>
      <c r="M78" s="116"/>
      <c r="N78" s="117"/>
      <c r="O78" s="135"/>
      <c r="P78" s="48"/>
    </row>
    <row r="79" spans="1:16" ht="13.5">
      <c r="A79" s="113"/>
      <c r="B79" s="113"/>
      <c r="C79" s="113"/>
      <c r="D79" s="113"/>
      <c r="E79" s="113"/>
      <c r="F79" s="113"/>
      <c r="G79" s="116"/>
      <c r="H79" s="113"/>
      <c r="I79" s="115"/>
      <c r="J79" s="116"/>
      <c r="K79" s="113"/>
      <c r="L79" s="113"/>
      <c r="M79" s="116"/>
      <c r="N79" s="117"/>
      <c r="O79" s="135"/>
      <c r="P79" s="48"/>
    </row>
    <row r="80" spans="1:16" ht="14.25">
      <c r="A80" s="136"/>
      <c r="B80" s="114"/>
      <c r="C80" s="117"/>
      <c r="D80" s="117"/>
      <c r="E80" s="117"/>
      <c r="F80" s="137"/>
      <c r="G80" s="137"/>
      <c r="H80" s="137"/>
      <c r="I80" s="137"/>
      <c r="J80" s="137"/>
      <c r="K80" s="137"/>
      <c r="L80" s="137"/>
      <c r="M80" s="137"/>
      <c r="N80" s="137"/>
      <c r="O80" s="135"/>
      <c r="P80" s="10"/>
    </row>
    <row r="81" spans="1:16" ht="13.5">
      <c r="A81" s="113"/>
      <c r="B81" s="113"/>
      <c r="C81" s="113"/>
      <c r="D81" s="113"/>
      <c r="E81" s="113"/>
      <c r="F81" s="113"/>
      <c r="G81" s="116"/>
      <c r="H81" s="113"/>
      <c r="I81" s="115"/>
      <c r="J81" s="116"/>
      <c r="K81" s="113"/>
      <c r="L81" s="113"/>
      <c r="M81" s="116"/>
      <c r="N81" s="117"/>
      <c r="O81" s="135"/>
      <c r="P81" s="48"/>
    </row>
    <row r="82" spans="1:16" ht="13.5">
      <c r="A82" s="113"/>
      <c r="B82" s="113"/>
      <c r="C82" s="113"/>
      <c r="D82" s="113"/>
      <c r="E82" s="113"/>
      <c r="F82" s="113"/>
      <c r="G82" s="116"/>
      <c r="H82" s="113"/>
      <c r="I82" s="115"/>
      <c r="J82" s="116"/>
      <c r="K82" s="113"/>
      <c r="L82" s="113"/>
      <c r="M82" s="116"/>
      <c r="N82" s="117"/>
      <c r="O82" s="135"/>
      <c r="P82" s="48"/>
    </row>
    <row r="83" spans="1:16" ht="14.25">
      <c r="A83" s="136"/>
      <c r="B83" s="114"/>
      <c r="C83" s="117"/>
      <c r="D83" s="117"/>
      <c r="E83" s="117"/>
      <c r="F83" s="137"/>
      <c r="G83" s="137"/>
      <c r="H83" s="137"/>
      <c r="I83" s="137"/>
      <c r="J83" s="137"/>
      <c r="K83" s="137"/>
      <c r="L83" s="137"/>
      <c r="M83" s="137"/>
      <c r="N83" s="137"/>
      <c r="O83" s="135"/>
      <c r="P83" s="10"/>
    </row>
    <row r="84" spans="1:16" ht="13.5">
      <c r="A84" s="115"/>
      <c r="B84" s="115"/>
      <c r="C84" s="115"/>
      <c r="D84" s="115"/>
      <c r="E84" s="115"/>
      <c r="F84" s="115"/>
      <c r="G84" s="116"/>
      <c r="H84" s="113"/>
      <c r="I84" s="115"/>
      <c r="J84" s="116"/>
      <c r="K84" s="113"/>
      <c r="L84" s="113"/>
      <c r="M84" s="116"/>
      <c r="N84" s="117"/>
      <c r="O84" s="135"/>
      <c r="P84" s="48"/>
    </row>
    <row r="85" spans="1:16" ht="13.5">
      <c r="A85" s="115"/>
      <c r="B85" s="115"/>
      <c r="C85" s="115"/>
      <c r="D85" s="115"/>
      <c r="E85" s="115"/>
      <c r="F85" s="115"/>
      <c r="G85" s="116"/>
      <c r="H85" s="113"/>
      <c r="I85" s="115"/>
      <c r="J85" s="116"/>
      <c r="K85" s="113"/>
      <c r="L85" s="113"/>
      <c r="M85" s="116"/>
      <c r="N85" s="117"/>
      <c r="O85" s="135"/>
      <c r="P85" s="48"/>
    </row>
    <row r="86" spans="1:16" ht="14.25">
      <c r="A86" s="136"/>
      <c r="B86" s="114"/>
      <c r="C86" s="117"/>
      <c r="D86" s="117"/>
      <c r="E86" s="117"/>
      <c r="F86" s="137"/>
      <c r="G86" s="137"/>
      <c r="H86" s="137"/>
      <c r="I86" s="137"/>
      <c r="J86" s="137"/>
      <c r="K86" s="137"/>
      <c r="L86" s="137"/>
      <c r="M86" s="137"/>
      <c r="N86" s="137"/>
      <c r="O86" s="135"/>
      <c r="P86" s="10"/>
    </row>
    <row r="87" spans="1:16" ht="13.5">
      <c r="A87" s="115"/>
      <c r="B87" s="115"/>
      <c r="C87" s="115"/>
      <c r="D87" s="115"/>
      <c r="E87" s="115"/>
      <c r="F87" s="115"/>
      <c r="G87" s="116"/>
      <c r="H87" s="113"/>
      <c r="I87" s="115"/>
      <c r="J87" s="116"/>
      <c r="K87" s="113"/>
      <c r="L87" s="113"/>
      <c r="M87" s="116"/>
      <c r="N87" s="117"/>
      <c r="O87" s="135"/>
      <c r="P87" s="48"/>
    </row>
    <row r="88" spans="1:16" ht="14.25">
      <c r="A88" s="136"/>
      <c r="B88" s="114"/>
      <c r="C88" s="117"/>
      <c r="D88" s="117"/>
      <c r="E88" s="117"/>
      <c r="F88" s="137"/>
      <c r="G88" s="137"/>
      <c r="H88" s="137"/>
      <c r="I88" s="137"/>
      <c r="J88" s="137"/>
      <c r="K88" s="137"/>
      <c r="L88" s="137"/>
      <c r="M88" s="137"/>
      <c r="N88" s="137"/>
      <c r="O88" s="135"/>
      <c r="P88" s="10"/>
    </row>
    <row r="89" spans="1:16" ht="14.25">
      <c r="A89" s="115"/>
      <c r="B89" s="115"/>
      <c r="C89" s="115"/>
      <c r="D89" s="115"/>
      <c r="E89" s="115"/>
      <c r="F89" s="115"/>
      <c r="G89" s="116"/>
      <c r="H89" s="113"/>
      <c r="I89" s="115"/>
      <c r="J89" s="116"/>
      <c r="K89" s="113"/>
      <c r="L89" s="113"/>
      <c r="M89" s="116"/>
      <c r="N89" s="117"/>
      <c r="O89" s="135"/>
      <c r="P89" s="13"/>
    </row>
    <row r="90" spans="1:16" ht="14.25">
      <c r="A90" s="136"/>
      <c r="B90" s="114"/>
      <c r="C90" s="117"/>
      <c r="D90" s="117"/>
      <c r="E90" s="117"/>
      <c r="F90" s="137"/>
      <c r="G90" s="137"/>
      <c r="H90" s="137"/>
      <c r="I90" s="137"/>
      <c r="J90" s="137"/>
      <c r="K90" s="137"/>
      <c r="L90" s="137"/>
      <c r="M90" s="137"/>
      <c r="N90" s="137"/>
      <c r="O90" s="135"/>
      <c r="P90" s="10"/>
    </row>
    <row r="91" spans="1:16" ht="12.75">
      <c r="A91" s="115"/>
      <c r="B91" s="115"/>
      <c r="C91" s="115"/>
      <c r="D91" s="115"/>
      <c r="E91" s="115"/>
      <c r="F91" s="115"/>
      <c r="G91" s="116"/>
      <c r="H91" s="113"/>
      <c r="I91" s="115"/>
      <c r="J91" s="116"/>
      <c r="K91" s="113"/>
      <c r="L91" s="113"/>
      <c r="M91" s="116"/>
      <c r="N91" s="117"/>
      <c r="O91" s="135"/>
    </row>
    <row r="92" spans="1:16" ht="12.75">
      <c r="A92" s="115"/>
      <c r="B92" s="115"/>
      <c r="C92" s="115"/>
      <c r="D92" s="115"/>
      <c r="E92" s="115"/>
      <c r="F92" s="115"/>
      <c r="G92" s="116"/>
      <c r="H92" s="113"/>
      <c r="I92" s="115"/>
      <c r="J92" s="116"/>
      <c r="K92" s="113"/>
      <c r="L92" s="113"/>
      <c r="M92" s="116"/>
      <c r="N92" s="117"/>
      <c r="O92" s="135"/>
    </row>
    <row r="93" spans="1:16" ht="14.25">
      <c r="A93" s="136"/>
      <c r="B93" s="114"/>
      <c r="C93" s="117"/>
      <c r="D93" s="117"/>
      <c r="E93" s="117"/>
      <c r="F93" s="137"/>
      <c r="G93" s="137"/>
      <c r="H93" s="137"/>
      <c r="I93" s="137"/>
      <c r="J93" s="137"/>
      <c r="K93" s="137"/>
      <c r="L93" s="137"/>
      <c r="M93" s="137"/>
      <c r="N93" s="137"/>
      <c r="O93" s="135"/>
      <c r="P93" s="10"/>
    </row>
    <row r="94" spans="1:16" ht="12.75">
      <c r="A94" s="115"/>
      <c r="B94" s="115"/>
      <c r="C94" s="115"/>
      <c r="D94" s="115"/>
      <c r="E94" s="115"/>
      <c r="F94" s="115"/>
      <c r="G94" s="116"/>
      <c r="H94" s="113"/>
      <c r="I94" s="115"/>
      <c r="J94" s="116"/>
      <c r="K94" s="113"/>
      <c r="L94" s="113"/>
      <c r="M94" s="116"/>
      <c r="N94" s="117"/>
      <c r="O94" s="135"/>
    </row>
    <row r="95" spans="1:16" ht="12.75">
      <c r="A95" s="115"/>
      <c r="B95" s="115"/>
      <c r="C95" s="115"/>
      <c r="D95" s="115"/>
      <c r="E95" s="115"/>
      <c r="F95" s="115"/>
      <c r="G95" s="116"/>
      <c r="H95" s="113"/>
      <c r="I95" s="115"/>
      <c r="J95" s="116"/>
      <c r="K95" s="113"/>
      <c r="L95" s="113"/>
      <c r="M95" s="116"/>
      <c r="N95" s="117"/>
      <c r="O95" s="135"/>
    </row>
    <row r="96" spans="1:16" ht="14.25">
      <c r="A96" s="136"/>
      <c r="B96" s="114"/>
      <c r="C96" s="117"/>
      <c r="D96" s="117"/>
      <c r="E96" s="117"/>
      <c r="F96" s="137"/>
      <c r="G96" s="137"/>
      <c r="H96" s="137"/>
      <c r="I96" s="137"/>
      <c r="J96" s="137"/>
      <c r="K96" s="137"/>
      <c r="L96" s="137"/>
      <c r="M96" s="137"/>
      <c r="N96" s="137"/>
      <c r="O96" s="135"/>
      <c r="P96" s="10"/>
    </row>
    <row r="97" spans="1:16" ht="12.75">
      <c r="A97" s="115"/>
      <c r="B97" s="115"/>
      <c r="C97" s="115"/>
      <c r="D97" s="115"/>
      <c r="E97" s="115"/>
      <c r="F97" s="115"/>
      <c r="G97" s="116"/>
      <c r="H97" s="113"/>
      <c r="I97" s="115"/>
      <c r="J97" s="116"/>
      <c r="K97" s="113"/>
      <c r="L97" s="113"/>
      <c r="M97" s="116"/>
      <c r="N97" s="117"/>
      <c r="O97" s="135"/>
    </row>
    <row r="98" spans="1:16" ht="14.25">
      <c r="A98" s="136"/>
      <c r="B98" s="114"/>
      <c r="C98" s="117"/>
      <c r="D98" s="117"/>
      <c r="E98" s="117"/>
      <c r="F98" s="137"/>
      <c r="G98" s="137"/>
      <c r="H98" s="137"/>
      <c r="I98" s="137"/>
      <c r="J98" s="137"/>
      <c r="K98" s="137"/>
      <c r="L98" s="137"/>
      <c r="M98" s="137"/>
      <c r="N98" s="137"/>
      <c r="O98" s="135"/>
      <c r="P98" s="10"/>
    </row>
    <row r="99" spans="1:16" ht="12.75">
      <c r="A99" s="115"/>
      <c r="B99" s="115"/>
      <c r="C99" s="115"/>
      <c r="D99" s="115"/>
      <c r="E99" s="115"/>
      <c r="F99" s="115"/>
      <c r="G99" s="116"/>
      <c r="H99" s="113"/>
      <c r="I99" s="115"/>
      <c r="J99" s="116"/>
      <c r="K99" s="113"/>
      <c r="L99" s="113"/>
      <c r="M99" s="116"/>
      <c r="N99" s="117"/>
      <c r="O99" s="135"/>
    </row>
    <row r="100" spans="1:16" ht="14.25">
      <c r="A100" s="136"/>
      <c r="B100" s="114"/>
      <c r="C100" s="117"/>
      <c r="D100" s="117"/>
      <c r="E100" s="117"/>
      <c r="F100" s="137"/>
      <c r="G100" s="137"/>
      <c r="H100" s="137"/>
      <c r="I100" s="137"/>
      <c r="J100" s="137"/>
      <c r="K100" s="137"/>
      <c r="L100" s="137"/>
      <c r="M100" s="137"/>
      <c r="N100" s="137"/>
      <c r="O100" s="135"/>
      <c r="P100" s="10"/>
    </row>
    <row r="101" spans="1:16" ht="12.75">
      <c r="A101" s="115"/>
      <c r="B101" s="115"/>
      <c r="C101" s="115"/>
      <c r="D101" s="115"/>
      <c r="E101" s="115"/>
      <c r="F101" s="115"/>
      <c r="G101" s="116"/>
      <c r="H101" s="113"/>
      <c r="I101" s="115"/>
      <c r="J101" s="116"/>
      <c r="K101" s="113"/>
      <c r="L101" s="113"/>
      <c r="M101" s="116"/>
      <c r="N101" s="117"/>
      <c r="O101" s="135"/>
    </row>
    <row r="102" spans="1:16" ht="14.25">
      <c r="A102" s="136"/>
      <c r="B102" s="114"/>
      <c r="C102" s="117"/>
      <c r="D102" s="117"/>
      <c r="E102" s="117"/>
      <c r="F102" s="137"/>
      <c r="G102" s="137"/>
      <c r="H102" s="137"/>
      <c r="I102" s="137"/>
      <c r="J102" s="137"/>
      <c r="K102" s="137"/>
      <c r="L102" s="137"/>
      <c r="M102" s="137"/>
      <c r="N102" s="137"/>
      <c r="O102" s="135"/>
      <c r="P102" s="10"/>
    </row>
    <row r="103" spans="1:16" ht="44.25" customHeight="1">
      <c r="A103" s="115"/>
      <c r="B103" s="115"/>
      <c r="C103" s="115"/>
      <c r="D103" s="115"/>
      <c r="E103" s="115"/>
      <c r="F103" s="115"/>
      <c r="G103" s="116"/>
      <c r="H103" s="113"/>
      <c r="I103" s="115"/>
      <c r="J103" s="116"/>
      <c r="K103" s="113"/>
      <c r="L103" s="113"/>
      <c r="M103" s="116"/>
      <c r="N103" s="117"/>
      <c r="O103" s="135"/>
    </row>
    <row r="104" spans="1:16" ht="12.75">
      <c r="A104" s="115"/>
      <c r="B104" s="115"/>
      <c r="C104" s="115"/>
      <c r="D104" s="115"/>
      <c r="E104" s="115"/>
      <c r="F104" s="115"/>
      <c r="G104" s="116"/>
      <c r="H104" s="113"/>
      <c r="I104" s="115"/>
      <c r="J104" s="116"/>
      <c r="K104" s="113"/>
      <c r="L104" s="113"/>
      <c r="M104" s="116"/>
      <c r="N104" s="117"/>
      <c r="O104" s="135"/>
    </row>
    <row r="105" spans="1:16" ht="14.25">
      <c r="A105" s="136"/>
      <c r="B105" s="114"/>
      <c r="C105" s="117"/>
      <c r="D105" s="117"/>
      <c r="E105" s="117"/>
      <c r="F105" s="137"/>
      <c r="G105" s="137"/>
      <c r="H105" s="137"/>
      <c r="I105" s="137"/>
      <c r="J105" s="137"/>
      <c r="K105" s="137"/>
      <c r="L105" s="137"/>
      <c r="M105" s="137"/>
      <c r="N105" s="137"/>
      <c r="O105" s="135"/>
      <c r="P105" s="10"/>
    </row>
    <row r="106" spans="1:16" ht="12.75">
      <c r="A106" s="115"/>
      <c r="B106" s="115"/>
      <c r="C106" s="115"/>
      <c r="D106" s="115"/>
      <c r="E106" s="115"/>
      <c r="F106" s="115"/>
      <c r="G106" s="116"/>
      <c r="H106" s="113"/>
      <c r="I106" s="115"/>
      <c r="J106" s="116"/>
      <c r="K106" s="113"/>
      <c r="L106" s="113"/>
      <c r="M106" s="116"/>
      <c r="N106" s="117"/>
      <c r="O106" s="135"/>
    </row>
    <row r="107" spans="1:16" ht="12.75">
      <c r="A107" s="115"/>
      <c r="B107" s="115"/>
      <c r="C107" s="115"/>
      <c r="D107" s="115"/>
      <c r="E107" s="115"/>
      <c r="F107" s="115"/>
      <c r="G107" s="116"/>
      <c r="H107" s="113"/>
      <c r="I107" s="115"/>
      <c r="J107" s="116"/>
      <c r="K107" s="113"/>
      <c r="L107" s="113"/>
      <c r="M107" s="116"/>
      <c r="N107" s="117"/>
      <c r="O107" s="135"/>
    </row>
    <row r="108" spans="1:16" ht="14.25">
      <c r="A108" s="136"/>
      <c r="B108" s="114"/>
      <c r="C108" s="117"/>
      <c r="D108" s="117"/>
      <c r="E108" s="117"/>
      <c r="F108" s="137"/>
      <c r="G108" s="137"/>
      <c r="H108" s="137"/>
      <c r="I108" s="137"/>
      <c r="J108" s="137"/>
      <c r="K108" s="137"/>
      <c r="L108" s="137"/>
      <c r="M108" s="137"/>
      <c r="N108" s="137"/>
      <c r="O108" s="135"/>
      <c r="P108" s="10"/>
    </row>
    <row r="109" spans="1:16" ht="12.75">
      <c r="A109" s="115"/>
      <c r="B109" s="115"/>
      <c r="C109" s="115"/>
      <c r="D109" s="115"/>
      <c r="E109" s="115"/>
      <c r="F109" s="115"/>
      <c r="G109" s="116"/>
      <c r="H109" s="113"/>
      <c r="I109" s="115"/>
      <c r="J109" s="116"/>
      <c r="K109" s="113"/>
      <c r="L109" s="113"/>
      <c r="M109" s="116"/>
      <c r="N109" s="117"/>
      <c r="O109" s="135"/>
    </row>
    <row r="110" spans="1:16" ht="12.75">
      <c r="A110" s="115"/>
      <c r="B110" s="115"/>
      <c r="C110" s="115"/>
      <c r="D110" s="115"/>
      <c r="E110" s="115"/>
      <c r="F110" s="115"/>
      <c r="G110" s="116"/>
      <c r="H110" s="113"/>
      <c r="I110" s="115"/>
      <c r="J110" s="116"/>
      <c r="K110" s="113"/>
      <c r="L110" s="113"/>
      <c r="M110" s="116"/>
      <c r="N110" s="117"/>
      <c r="O110" s="135"/>
    </row>
    <row r="111" spans="1:16" ht="14.25">
      <c r="A111" s="136"/>
      <c r="B111" s="114"/>
      <c r="C111" s="117"/>
      <c r="D111" s="117"/>
      <c r="E111" s="117"/>
      <c r="F111" s="137"/>
      <c r="G111" s="137"/>
      <c r="H111" s="137"/>
      <c r="I111" s="137"/>
      <c r="J111" s="137"/>
      <c r="K111" s="137"/>
      <c r="L111" s="137"/>
      <c r="M111" s="137"/>
      <c r="N111" s="137"/>
      <c r="O111" s="135"/>
      <c r="P111" s="10"/>
    </row>
    <row r="112" spans="1:16" ht="12.75">
      <c r="A112" s="115"/>
      <c r="B112" s="115"/>
      <c r="C112" s="115"/>
      <c r="D112" s="115"/>
      <c r="E112" s="115"/>
      <c r="F112" s="115"/>
      <c r="G112" s="116"/>
      <c r="H112" s="113"/>
      <c r="I112" s="115"/>
      <c r="J112" s="116"/>
      <c r="K112" s="113"/>
      <c r="L112" s="113"/>
      <c r="M112" s="116"/>
      <c r="N112" s="117"/>
      <c r="O112" s="135"/>
    </row>
    <row r="113" spans="1:16" ht="14.25">
      <c r="A113" s="136"/>
      <c r="B113" s="114"/>
      <c r="C113" s="117"/>
      <c r="D113" s="117"/>
      <c r="E113" s="117"/>
      <c r="F113" s="137"/>
      <c r="G113" s="137"/>
      <c r="H113" s="137"/>
      <c r="I113" s="137"/>
      <c r="J113" s="137"/>
      <c r="K113" s="137"/>
      <c r="L113" s="137"/>
      <c r="M113" s="137"/>
      <c r="N113" s="137"/>
      <c r="O113" s="135"/>
      <c r="P113" s="10"/>
    </row>
    <row r="114" spans="1:16" ht="12.75">
      <c r="A114" s="115"/>
      <c r="B114" s="115"/>
      <c r="C114" s="115"/>
      <c r="D114" s="115"/>
      <c r="E114" s="115"/>
      <c r="F114" s="115"/>
      <c r="G114" s="116"/>
      <c r="H114" s="113"/>
      <c r="I114" s="115"/>
      <c r="J114" s="116"/>
      <c r="K114" s="113"/>
      <c r="L114" s="113"/>
      <c r="M114" s="116"/>
      <c r="N114" s="117"/>
      <c r="O114" s="135"/>
    </row>
    <row r="115" spans="1:16" ht="14.25">
      <c r="A115" s="136"/>
      <c r="B115" s="114"/>
      <c r="C115" s="117"/>
      <c r="D115" s="117"/>
      <c r="E115" s="117"/>
      <c r="F115" s="137"/>
      <c r="G115" s="137"/>
      <c r="H115" s="137"/>
      <c r="I115" s="137"/>
      <c r="J115" s="137"/>
      <c r="K115" s="137"/>
      <c r="L115" s="137"/>
      <c r="M115" s="137"/>
      <c r="N115" s="137"/>
      <c r="O115" s="135"/>
      <c r="P115" s="10"/>
    </row>
    <row r="116" spans="1:16" ht="12.75">
      <c r="A116" s="115"/>
      <c r="B116" s="115"/>
      <c r="C116" s="115"/>
      <c r="D116" s="115"/>
      <c r="E116" s="115"/>
      <c r="F116" s="115"/>
      <c r="G116" s="116"/>
      <c r="H116" s="113"/>
      <c r="I116" s="115"/>
      <c r="J116" s="116"/>
      <c r="K116" s="113"/>
      <c r="L116" s="113"/>
      <c r="M116" s="116"/>
      <c r="N116" s="117"/>
      <c r="O116" s="135"/>
    </row>
    <row r="117" spans="1:16" ht="14.25">
      <c r="A117" s="136"/>
      <c r="B117" s="114"/>
      <c r="C117" s="117"/>
      <c r="D117" s="117"/>
      <c r="E117" s="117"/>
      <c r="F117" s="137"/>
      <c r="G117" s="137"/>
      <c r="H117" s="137"/>
      <c r="I117" s="137"/>
      <c r="J117" s="137"/>
      <c r="K117" s="137"/>
      <c r="L117" s="137"/>
      <c r="M117" s="137"/>
      <c r="N117" s="137"/>
      <c r="O117" s="135"/>
      <c r="P117" s="10"/>
    </row>
    <row r="118" spans="1:16" ht="12.75">
      <c r="A118" s="115"/>
      <c r="B118" s="115"/>
      <c r="C118" s="115"/>
      <c r="D118" s="115"/>
      <c r="E118" s="115"/>
      <c r="F118" s="115"/>
      <c r="G118" s="116"/>
      <c r="H118" s="113"/>
      <c r="I118" s="115"/>
      <c r="J118" s="116"/>
      <c r="K118" s="113"/>
      <c r="L118" s="113"/>
      <c r="M118" s="116"/>
      <c r="N118" s="117"/>
      <c r="O118" s="135"/>
    </row>
    <row r="119" spans="1:16" ht="12.75">
      <c r="A119" s="135"/>
      <c r="B119" s="135"/>
      <c r="C119" s="135"/>
      <c r="D119" s="135"/>
      <c r="E119" s="135"/>
      <c r="F119" s="135"/>
      <c r="G119" s="135"/>
      <c r="H119" s="135"/>
      <c r="I119" s="135"/>
      <c r="J119" s="135"/>
      <c r="K119" s="135"/>
      <c r="L119" s="135"/>
      <c r="M119" s="135"/>
      <c r="N119" s="138"/>
      <c r="O119" s="135"/>
    </row>
    <row r="120" spans="1:16" ht="12.75">
      <c r="A120" s="135"/>
      <c r="B120" s="135"/>
      <c r="C120" s="135"/>
      <c r="D120" s="135"/>
      <c r="E120" s="135"/>
      <c r="F120" s="135"/>
      <c r="G120" s="135"/>
      <c r="H120" s="135"/>
      <c r="I120" s="135"/>
      <c r="J120" s="135"/>
      <c r="K120" s="135"/>
      <c r="L120" s="135"/>
      <c r="M120" s="135"/>
      <c r="N120" s="138"/>
      <c r="O120" s="135"/>
    </row>
    <row r="121" spans="1:16" ht="12.75">
      <c r="A121" s="135"/>
      <c r="B121" s="135"/>
      <c r="C121" s="135"/>
      <c r="D121" s="135"/>
      <c r="E121" s="135"/>
      <c r="F121" s="135"/>
      <c r="G121" s="135"/>
      <c r="H121" s="135"/>
      <c r="I121" s="135"/>
      <c r="J121" s="135"/>
      <c r="K121" s="135"/>
      <c r="L121" s="135"/>
      <c r="M121" s="135"/>
      <c r="N121" s="138"/>
      <c r="O121" s="135"/>
    </row>
    <row r="122" spans="1:16" ht="12.75">
      <c r="A122" s="135"/>
      <c r="B122" s="135"/>
      <c r="C122" s="135"/>
      <c r="D122" s="135"/>
      <c r="E122" s="135"/>
      <c r="F122" s="135"/>
      <c r="G122" s="135"/>
      <c r="H122" s="135"/>
      <c r="I122" s="135"/>
      <c r="J122" s="135"/>
      <c r="K122" s="135"/>
      <c r="L122" s="135"/>
      <c r="M122" s="135"/>
      <c r="N122" s="138"/>
      <c r="O122" s="135"/>
    </row>
    <row r="123" spans="1:16" ht="12.75">
      <c r="A123" s="135"/>
      <c r="B123" s="135"/>
      <c r="C123" s="135"/>
      <c r="D123" s="135"/>
      <c r="E123" s="135"/>
      <c r="F123" s="135"/>
      <c r="G123" s="135"/>
      <c r="H123" s="135"/>
      <c r="I123" s="135"/>
      <c r="J123" s="135"/>
      <c r="K123" s="135"/>
      <c r="L123" s="135"/>
      <c r="M123" s="135"/>
      <c r="N123" s="138"/>
      <c r="O123" s="135"/>
    </row>
    <row r="124" spans="1:16" ht="12.75">
      <c r="A124" s="135"/>
      <c r="B124" s="135"/>
      <c r="C124" s="135"/>
      <c r="D124" s="135"/>
      <c r="E124" s="135"/>
      <c r="F124" s="135"/>
      <c r="G124" s="135"/>
      <c r="H124" s="135"/>
      <c r="I124" s="135"/>
      <c r="J124" s="135"/>
      <c r="K124" s="135"/>
      <c r="L124" s="135"/>
      <c r="M124" s="135"/>
      <c r="N124" s="138"/>
      <c r="O124" s="135"/>
    </row>
    <row r="125" spans="1:16" ht="12.75">
      <c r="A125" s="135"/>
      <c r="B125" s="135"/>
      <c r="C125" s="135"/>
      <c r="D125" s="135"/>
      <c r="E125" s="135"/>
      <c r="F125" s="135"/>
      <c r="G125" s="135"/>
      <c r="H125" s="135"/>
      <c r="I125" s="135"/>
      <c r="J125" s="135"/>
      <c r="K125" s="135"/>
      <c r="L125" s="135"/>
      <c r="M125" s="135"/>
      <c r="N125" s="138"/>
      <c r="O125" s="135"/>
    </row>
    <row r="126" spans="1:16" ht="12.75">
      <c r="A126" s="135"/>
      <c r="B126" s="135"/>
      <c r="C126" s="135"/>
      <c r="D126" s="135"/>
      <c r="E126" s="135"/>
      <c r="F126" s="135"/>
      <c r="G126" s="135"/>
      <c r="H126" s="135"/>
      <c r="I126" s="135"/>
      <c r="J126" s="135"/>
      <c r="K126" s="135"/>
      <c r="L126" s="135"/>
      <c r="M126" s="135"/>
      <c r="N126" s="138"/>
      <c r="O126" s="135"/>
    </row>
    <row r="127" spans="1:16" ht="12.75">
      <c r="A127" s="135"/>
      <c r="B127" s="135"/>
      <c r="C127" s="135"/>
      <c r="D127" s="135"/>
      <c r="E127" s="135"/>
      <c r="F127" s="135"/>
      <c r="G127" s="135"/>
      <c r="H127" s="135"/>
      <c r="I127" s="135"/>
      <c r="J127" s="135"/>
      <c r="K127" s="135"/>
      <c r="L127" s="135"/>
      <c r="M127" s="135"/>
      <c r="N127" s="138"/>
      <c r="O127" s="135"/>
    </row>
    <row r="128" spans="1:16" ht="12.75">
      <c r="A128" s="135"/>
      <c r="B128" s="135"/>
      <c r="C128" s="135"/>
      <c r="D128" s="135"/>
      <c r="E128" s="135"/>
      <c r="F128" s="135"/>
      <c r="G128" s="135"/>
      <c r="H128" s="135"/>
      <c r="I128" s="135"/>
      <c r="J128" s="135"/>
      <c r="K128" s="135"/>
      <c r="L128" s="135"/>
      <c r="M128" s="135"/>
      <c r="N128" s="138"/>
      <c r="O128" s="135"/>
    </row>
    <row r="129" spans="1:15" ht="12.75">
      <c r="A129" s="135"/>
      <c r="B129" s="135"/>
      <c r="C129" s="135"/>
      <c r="D129" s="135"/>
      <c r="E129" s="135"/>
      <c r="F129" s="135"/>
      <c r="G129" s="135"/>
      <c r="H129" s="135"/>
      <c r="I129" s="135"/>
      <c r="J129" s="135"/>
      <c r="K129" s="135"/>
      <c r="L129" s="135"/>
      <c r="M129" s="135"/>
      <c r="N129" s="138"/>
      <c r="O129" s="135"/>
    </row>
    <row r="130" spans="1:15" ht="12.75">
      <c r="A130" s="135"/>
      <c r="B130" s="135"/>
      <c r="C130" s="135"/>
      <c r="D130" s="135"/>
      <c r="E130" s="135"/>
      <c r="F130" s="135"/>
      <c r="G130" s="135"/>
      <c r="H130" s="135"/>
      <c r="I130" s="135"/>
      <c r="J130" s="135"/>
      <c r="K130" s="135"/>
      <c r="L130" s="135"/>
      <c r="M130" s="135"/>
      <c r="N130" s="138"/>
      <c r="O130" s="135"/>
    </row>
    <row r="131" spans="1:15" ht="12.75">
      <c r="N131" s="54"/>
    </row>
    <row r="132" spans="1:15" ht="12.75">
      <c r="N132" s="54"/>
    </row>
    <row r="133" spans="1:15" ht="12.75">
      <c r="N133" s="54"/>
    </row>
    <row r="134" spans="1:15" ht="12.75">
      <c r="N134" s="54"/>
    </row>
    <row r="135" spans="1:15" ht="12.75">
      <c r="N135" s="54"/>
    </row>
    <row r="136" spans="1:15" ht="12.75">
      <c r="N136" s="54"/>
    </row>
    <row r="137" spans="1:15" ht="12.75">
      <c r="N137" s="54"/>
    </row>
    <row r="138" spans="1:15" ht="12.75">
      <c r="N138" s="54"/>
    </row>
    <row r="139" spans="1:15" ht="12.75">
      <c r="N139" s="54"/>
    </row>
    <row r="140" spans="1:15" ht="12.75">
      <c r="N140" s="54"/>
    </row>
    <row r="141" spans="1:15" ht="12.75">
      <c r="N141" s="54"/>
    </row>
    <row r="142" spans="1:15" ht="12.75">
      <c r="N142" s="54"/>
    </row>
    <row r="143" spans="1:15" ht="12.75">
      <c r="N143" s="54"/>
    </row>
    <row r="144" spans="1:15" ht="12.75">
      <c r="N144" s="54"/>
    </row>
    <row r="145" spans="14:14" ht="12.75">
      <c r="N145" s="54"/>
    </row>
    <row r="146" spans="14:14" ht="12.75">
      <c r="N146" s="54"/>
    </row>
    <row r="147" spans="14:14" ht="12.75">
      <c r="N147" s="54"/>
    </row>
    <row r="148" spans="14:14" ht="12.75">
      <c r="N148" s="54"/>
    </row>
    <row r="149" spans="14:14" ht="12.75">
      <c r="N149" s="54"/>
    </row>
    <row r="150" spans="14:14" ht="12.75">
      <c r="N150" s="54"/>
    </row>
    <row r="151" spans="14:14" ht="12.75">
      <c r="N151" s="54"/>
    </row>
    <row r="152" spans="14:14" ht="12.75">
      <c r="N152" s="54"/>
    </row>
    <row r="153" spans="14:14" ht="12.75">
      <c r="N153" s="54"/>
    </row>
    <row r="154" spans="14:14" ht="12.75">
      <c r="N154" s="54"/>
    </row>
    <row r="155" spans="14:14" ht="12.75">
      <c r="N155" s="54"/>
    </row>
    <row r="156" spans="14:14" ht="12.75">
      <c r="N156" s="54"/>
    </row>
    <row r="157" spans="14:14" ht="12.75">
      <c r="N157" s="54"/>
    </row>
    <row r="158" spans="14:14" ht="12.75">
      <c r="N158" s="54"/>
    </row>
    <row r="159" spans="14:14" ht="12.75">
      <c r="N159" s="54"/>
    </row>
    <row r="160" spans="14:14" ht="12.75">
      <c r="N160" s="54"/>
    </row>
    <row r="161" spans="14:14" ht="12.75">
      <c r="N161" s="54"/>
    </row>
    <row r="162" spans="14:14" ht="12.75">
      <c r="N162" s="54"/>
    </row>
    <row r="163" spans="14:14" ht="12.75">
      <c r="N163" s="54"/>
    </row>
    <row r="164" spans="14:14" ht="12.75">
      <c r="N164" s="54"/>
    </row>
    <row r="165" spans="14:14" ht="12.75">
      <c r="N165" s="54"/>
    </row>
    <row r="166" spans="14:14" ht="12.75">
      <c r="N166" s="54"/>
    </row>
    <row r="167" spans="14:14" ht="12.75">
      <c r="N167" s="54"/>
    </row>
    <row r="168" spans="14:14" ht="12.75">
      <c r="N168" s="54"/>
    </row>
    <row r="169" spans="14:14" ht="12.75">
      <c r="N169" s="54"/>
    </row>
    <row r="170" spans="14:14" ht="12.75">
      <c r="N170" s="54"/>
    </row>
    <row r="171" spans="14:14" ht="12.75">
      <c r="N171" s="54"/>
    </row>
    <row r="172" spans="14:14" ht="12.75">
      <c r="N172" s="54"/>
    </row>
    <row r="173" spans="14:14" ht="12.75">
      <c r="N173" s="54"/>
    </row>
    <row r="174" spans="14:14" ht="12.75">
      <c r="N174" s="54"/>
    </row>
    <row r="175" spans="14:14" ht="12.75">
      <c r="N175" s="54"/>
    </row>
    <row r="176" spans="14:14" ht="12.75">
      <c r="N176" s="54"/>
    </row>
    <row r="177" spans="14:14" ht="12.75">
      <c r="N177" s="54"/>
    </row>
    <row r="178" spans="14:14" ht="12.75">
      <c r="N178" s="54"/>
    </row>
    <row r="179" spans="14:14" ht="12.75">
      <c r="N179" s="54"/>
    </row>
    <row r="180" spans="14:14" ht="12.75">
      <c r="N180" s="54"/>
    </row>
    <row r="181" spans="14:14" ht="12.75">
      <c r="N181" s="54"/>
    </row>
    <row r="182" spans="14:14" ht="12.75">
      <c r="N182" s="54"/>
    </row>
    <row r="183" spans="14:14" ht="12.75">
      <c r="N183" s="54"/>
    </row>
    <row r="184" spans="14:14" ht="12.75">
      <c r="N184" s="54"/>
    </row>
    <row r="185" spans="14:14" ht="12.75">
      <c r="N185" s="54"/>
    </row>
    <row r="186" spans="14:14" ht="12.75">
      <c r="N186" s="54"/>
    </row>
    <row r="187" spans="14:14" ht="12.75">
      <c r="N187" s="54"/>
    </row>
    <row r="188" spans="14:14" ht="12.75">
      <c r="N188" s="54"/>
    </row>
    <row r="189" spans="14:14" ht="12.75">
      <c r="N189" s="54"/>
    </row>
    <row r="190" spans="14:14" ht="12.75">
      <c r="N190" s="54"/>
    </row>
    <row r="191" spans="14:14" ht="12.75">
      <c r="N191" s="54"/>
    </row>
    <row r="192" spans="14:14" ht="12.75">
      <c r="N192" s="54"/>
    </row>
    <row r="193" spans="14:14" ht="12.75">
      <c r="N193" s="54"/>
    </row>
    <row r="194" spans="14:14" ht="12.75">
      <c r="N194" s="54"/>
    </row>
    <row r="195" spans="14:14" ht="12.75">
      <c r="N195" s="54"/>
    </row>
    <row r="196" spans="14:14" ht="12.75">
      <c r="N196" s="54"/>
    </row>
    <row r="197" spans="14:14" ht="12.75">
      <c r="N197" s="54"/>
    </row>
    <row r="198" spans="14:14" ht="12.75">
      <c r="N198" s="54"/>
    </row>
    <row r="199" spans="14:14" ht="12.75">
      <c r="N199" s="54"/>
    </row>
    <row r="200" spans="14:14" ht="12.75">
      <c r="N200" s="54"/>
    </row>
    <row r="201" spans="14:14" ht="12.75">
      <c r="N201" s="54"/>
    </row>
    <row r="202" spans="14:14" ht="12.75">
      <c r="N202" s="54"/>
    </row>
    <row r="203" spans="14:14" ht="12.75">
      <c r="N203" s="54"/>
    </row>
    <row r="204" spans="14:14" ht="12.75">
      <c r="N204" s="54"/>
    </row>
    <row r="205" spans="14:14" ht="12.75">
      <c r="N205" s="54"/>
    </row>
    <row r="206" spans="14:14" ht="12.75">
      <c r="N206" s="54"/>
    </row>
    <row r="207" spans="14:14" ht="12.75">
      <c r="N207" s="54"/>
    </row>
    <row r="208" spans="14:14" ht="12.75">
      <c r="N208" s="54"/>
    </row>
    <row r="209" spans="14:14" ht="12.75">
      <c r="N209" s="54"/>
    </row>
    <row r="210" spans="14:14" ht="12.75">
      <c r="N210" s="54"/>
    </row>
    <row r="211" spans="14:14" ht="12.75">
      <c r="N211" s="54"/>
    </row>
    <row r="212" spans="14:14" ht="12.75">
      <c r="N212" s="54"/>
    </row>
    <row r="213" spans="14:14" ht="12.75">
      <c r="N213" s="54"/>
    </row>
    <row r="214" spans="14:14" ht="12.75">
      <c r="N214" s="54"/>
    </row>
    <row r="215" spans="14:14" ht="12.75">
      <c r="N215" s="54"/>
    </row>
    <row r="216" spans="14:14" ht="12.75">
      <c r="N216" s="54"/>
    </row>
    <row r="217" spans="14:14" ht="12.75">
      <c r="N217" s="54"/>
    </row>
    <row r="218" spans="14:14" ht="12.75">
      <c r="N218" s="54"/>
    </row>
    <row r="219" spans="14:14" ht="12.75">
      <c r="N219" s="54"/>
    </row>
    <row r="220" spans="14:14" ht="12.75">
      <c r="N220" s="54"/>
    </row>
    <row r="221" spans="14:14" ht="12.75">
      <c r="N221" s="54"/>
    </row>
    <row r="222" spans="14:14" ht="12.75">
      <c r="N222" s="54"/>
    </row>
    <row r="223" spans="14:14" ht="12.75">
      <c r="N223" s="54"/>
    </row>
    <row r="224" spans="14:14" ht="12.75">
      <c r="N224" s="54"/>
    </row>
    <row r="225" spans="14:14" ht="12.75">
      <c r="N225" s="54"/>
    </row>
    <row r="226" spans="14:14" ht="12.75">
      <c r="N226" s="54"/>
    </row>
    <row r="227" spans="14:14" ht="12.75">
      <c r="N227" s="54"/>
    </row>
    <row r="228" spans="14:14" ht="12.75">
      <c r="N228" s="54"/>
    </row>
    <row r="229" spans="14:14" ht="12.75">
      <c r="N229" s="54"/>
    </row>
    <row r="230" spans="14:14" ht="12.75">
      <c r="N230" s="54"/>
    </row>
    <row r="231" spans="14:14" ht="12.75">
      <c r="N231" s="54"/>
    </row>
    <row r="232" spans="14:14" ht="12.75">
      <c r="N232" s="54"/>
    </row>
    <row r="233" spans="14:14" ht="12.75">
      <c r="N233" s="54"/>
    </row>
    <row r="234" spans="14:14" ht="12.75">
      <c r="N234" s="54"/>
    </row>
    <row r="235" spans="14:14" ht="12.75">
      <c r="N235" s="54"/>
    </row>
    <row r="236" spans="14:14" ht="12.75">
      <c r="N236" s="54"/>
    </row>
    <row r="237" spans="14:14" ht="12.75">
      <c r="N237" s="54"/>
    </row>
    <row r="238" spans="14:14" ht="12.75">
      <c r="N238" s="54"/>
    </row>
    <row r="239" spans="14:14" ht="12.75">
      <c r="N239" s="54"/>
    </row>
    <row r="240" spans="14:14" ht="12.75">
      <c r="N240" s="54"/>
    </row>
    <row r="241" spans="14:14" ht="12.75">
      <c r="N241" s="54"/>
    </row>
    <row r="242" spans="14:14" ht="12.75">
      <c r="N242" s="54"/>
    </row>
    <row r="243" spans="14:14" ht="12.75">
      <c r="N243" s="54"/>
    </row>
    <row r="244" spans="14:14" ht="12.75">
      <c r="N244" s="54"/>
    </row>
    <row r="245" spans="14:14" ht="12.75">
      <c r="N245" s="54"/>
    </row>
    <row r="246" spans="14:14" ht="12.75">
      <c r="N246" s="54"/>
    </row>
    <row r="247" spans="14:14" ht="12.75">
      <c r="N247" s="54"/>
    </row>
    <row r="248" spans="14:14" ht="12.75">
      <c r="N248" s="54"/>
    </row>
    <row r="249" spans="14:14" ht="12.75">
      <c r="N249" s="54"/>
    </row>
    <row r="250" spans="14:14" ht="12.75">
      <c r="N250" s="54"/>
    </row>
    <row r="251" spans="14:14" ht="12.75">
      <c r="N251" s="54"/>
    </row>
    <row r="252" spans="14:14" ht="12.75">
      <c r="N252" s="54"/>
    </row>
    <row r="253" spans="14:14" ht="12.75">
      <c r="N253" s="54"/>
    </row>
    <row r="254" spans="14:14" ht="12.75">
      <c r="N254" s="54"/>
    </row>
    <row r="255" spans="14:14" ht="12.75">
      <c r="N255" s="54"/>
    </row>
    <row r="256" spans="14:14" ht="12.75">
      <c r="N256" s="54"/>
    </row>
    <row r="257" spans="14:14" ht="12.75">
      <c r="N257" s="54"/>
    </row>
    <row r="258" spans="14:14" ht="12.75">
      <c r="N258" s="54"/>
    </row>
    <row r="259" spans="14:14" ht="12.75">
      <c r="N259" s="54"/>
    </row>
    <row r="260" spans="14:14" ht="12.75">
      <c r="N260" s="54"/>
    </row>
    <row r="261" spans="14:14" ht="12.75">
      <c r="N261" s="54"/>
    </row>
    <row r="262" spans="14:14" ht="12.75">
      <c r="N262" s="54"/>
    </row>
    <row r="263" spans="14:14" ht="12.75">
      <c r="N263" s="54"/>
    </row>
    <row r="264" spans="14:14" ht="12.75">
      <c r="N264" s="54"/>
    </row>
    <row r="265" spans="14:14" ht="12.75">
      <c r="N265" s="54"/>
    </row>
    <row r="266" spans="14:14" ht="12.75">
      <c r="N266" s="54"/>
    </row>
    <row r="267" spans="14:14" ht="12.75">
      <c r="N267" s="54"/>
    </row>
    <row r="268" spans="14:14" ht="12.75">
      <c r="N268" s="54"/>
    </row>
    <row r="269" spans="14:14" ht="12.75">
      <c r="N269" s="54"/>
    </row>
    <row r="270" spans="14:14" ht="12.75">
      <c r="N270" s="54"/>
    </row>
    <row r="271" spans="14:14" ht="12.75">
      <c r="N271" s="54"/>
    </row>
    <row r="272" spans="14:14" ht="12.75">
      <c r="N272" s="54"/>
    </row>
    <row r="273" spans="14:14" ht="12.75">
      <c r="N273" s="54"/>
    </row>
    <row r="274" spans="14:14" ht="12.75">
      <c r="N274" s="54"/>
    </row>
    <row r="275" spans="14:14" ht="12.75">
      <c r="N275" s="54"/>
    </row>
    <row r="276" spans="14:14" ht="12.75">
      <c r="N276" s="54"/>
    </row>
    <row r="277" spans="14:14" ht="12.75">
      <c r="N277" s="54"/>
    </row>
    <row r="278" spans="14:14" ht="12.75">
      <c r="N278" s="54"/>
    </row>
    <row r="279" spans="14:14" ht="12.75">
      <c r="N279" s="54"/>
    </row>
    <row r="280" spans="14:14" ht="12.75">
      <c r="N280" s="54"/>
    </row>
    <row r="281" spans="14:14" ht="12.75">
      <c r="N281" s="54"/>
    </row>
    <row r="282" spans="14:14" ht="12.75">
      <c r="N282" s="54"/>
    </row>
    <row r="283" spans="14:14" ht="12.75">
      <c r="N283" s="54"/>
    </row>
    <row r="284" spans="14:14" ht="12.75">
      <c r="N284" s="54"/>
    </row>
    <row r="285" spans="14:14" ht="12.75">
      <c r="N285" s="54"/>
    </row>
    <row r="286" spans="14:14" ht="12.75">
      <c r="N286" s="54"/>
    </row>
    <row r="287" spans="14:14" ht="12.75">
      <c r="N287" s="54"/>
    </row>
    <row r="288" spans="14:14" ht="12.75">
      <c r="N288" s="54"/>
    </row>
    <row r="289" spans="14:14" ht="12.75">
      <c r="N289" s="54"/>
    </row>
    <row r="290" spans="14:14" ht="12.75">
      <c r="N290" s="54"/>
    </row>
    <row r="291" spans="14:14" ht="12.75">
      <c r="N291" s="54"/>
    </row>
    <row r="292" spans="14:14" ht="12.75">
      <c r="N292" s="54"/>
    </row>
    <row r="293" spans="14:14" ht="12.75">
      <c r="N293" s="54"/>
    </row>
    <row r="294" spans="14:14" ht="12.75">
      <c r="N294" s="54"/>
    </row>
    <row r="295" spans="14:14" ht="12.75">
      <c r="N295" s="54"/>
    </row>
    <row r="296" spans="14:14" ht="12.75">
      <c r="N296" s="54"/>
    </row>
    <row r="297" spans="14:14" ht="12.75">
      <c r="N297" s="54"/>
    </row>
    <row r="298" spans="14:14" ht="12.75">
      <c r="N298" s="54"/>
    </row>
    <row r="299" spans="14:14" ht="12.75">
      <c r="N299" s="54"/>
    </row>
    <row r="300" spans="14:14" ht="12.75">
      <c r="N300" s="54"/>
    </row>
    <row r="301" spans="14:14" ht="12.75">
      <c r="N301" s="54"/>
    </row>
    <row r="302" spans="14:14" ht="12.75">
      <c r="N302" s="54"/>
    </row>
    <row r="303" spans="14:14" ht="12.75">
      <c r="N303" s="54"/>
    </row>
    <row r="304" spans="14:14" ht="12.75">
      <c r="N304" s="54"/>
    </row>
    <row r="305" spans="14:14" ht="12.75">
      <c r="N305" s="54"/>
    </row>
    <row r="306" spans="14:14" ht="12.75">
      <c r="N306" s="54"/>
    </row>
    <row r="307" spans="14:14" ht="12.75">
      <c r="N307" s="54"/>
    </row>
    <row r="308" spans="14:14" ht="12.75">
      <c r="N308" s="54"/>
    </row>
    <row r="309" spans="14:14" ht="12.75">
      <c r="N309" s="54"/>
    </row>
    <row r="310" spans="14:14" ht="12.75">
      <c r="N310" s="54"/>
    </row>
    <row r="311" spans="14:14" ht="12.75">
      <c r="N311" s="54"/>
    </row>
    <row r="312" spans="14:14" ht="12.75">
      <c r="N312" s="54"/>
    </row>
    <row r="313" spans="14:14" ht="12.75">
      <c r="N313" s="54"/>
    </row>
    <row r="314" spans="14:14" ht="12.75">
      <c r="N314" s="54"/>
    </row>
    <row r="315" spans="14:14" ht="12.75">
      <c r="N315" s="54"/>
    </row>
    <row r="316" spans="14:14" ht="12.75">
      <c r="N316" s="54"/>
    </row>
    <row r="317" spans="14:14" ht="12.75">
      <c r="N317" s="54"/>
    </row>
    <row r="318" spans="14:14" ht="12.75">
      <c r="N318" s="54"/>
    </row>
    <row r="319" spans="14:14" ht="12.75">
      <c r="N319" s="54"/>
    </row>
    <row r="320" spans="14:14" ht="12.75">
      <c r="N320" s="54"/>
    </row>
    <row r="321" spans="14:14" ht="12.75">
      <c r="N321" s="54"/>
    </row>
    <row r="322" spans="14:14" ht="12.75">
      <c r="N322" s="54"/>
    </row>
    <row r="323" spans="14:14" ht="12.75">
      <c r="N323" s="54"/>
    </row>
    <row r="324" spans="14:14" ht="12.75">
      <c r="N324" s="54"/>
    </row>
    <row r="325" spans="14:14" ht="12.75">
      <c r="N325" s="54"/>
    </row>
    <row r="326" spans="14:14" ht="12.75">
      <c r="N326" s="54"/>
    </row>
    <row r="327" spans="14:14" ht="12.75">
      <c r="N327" s="54"/>
    </row>
    <row r="328" spans="14:14" ht="12.75">
      <c r="N328" s="54"/>
    </row>
    <row r="329" spans="14:14" ht="12.75">
      <c r="N329" s="54"/>
    </row>
    <row r="330" spans="14:14" ht="12.75">
      <c r="N330" s="54"/>
    </row>
    <row r="331" spans="14:14" ht="12.75">
      <c r="N331" s="54"/>
    </row>
    <row r="332" spans="14:14" ht="12.75">
      <c r="N332" s="54"/>
    </row>
    <row r="333" spans="14:14" ht="12.75">
      <c r="N333" s="54"/>
    </row>
    <row r="334" spans="14:14" ht="12.75">
      <c r="N334" s="54"/>
    </row>
    <row r="335" spans="14:14" ht="12.75">
      <c r="N335" s="54"/>
    </row>
    <row r="336" spans="14:14" ht="12.75">
      <c r="N336" s="54"/>
    </row>
    <row r="337" spans="14:14" ht="12.75">
      <c r="N337" s="54"/>
    </row>
    <row r="338" spans="14:14" ht="12.75">
      <c r="N338" s="54"/>
    </row>
    <row r="339" spans="14:14" ht="12.75">
      <c r="N339" s="54"/>
    </row>
    <row r="340" spans="14:14" ht="12.75">
      <c r="N340" s="54"/>
    </row>
    <row r="341" spans="14:14" ht="12.75">
      <c r="N341" s="54"/>
    </row>
    <row r="342" spans="14:14" ht="12.75">
      <c r="N342" s="54"/>
    </row>
    <row r="343" spans="14:14" ht="12.75">
      <c r="N343" s="54"/>
    </row>
    <row r="344" spans="14:14" ht="12.75">
      <c r="N344" s="54"/>
    </row>
    <row r="345" spans="14:14" ht="12.75">
      <c r="N345" s="54"/>
    </row>
    <row r="346" spans="14:14" ht="12.75">
      <c r="N346" s="54"/>
    </row>
    <row r="347" spans="14:14" ht="12.75">
      <c r="N347" s="54"/>
    </row>
    <row r="348" spans="14:14" ht="12.75">
      <c r="N348" s="54"/>
    </row>
    <row r="349" spans="14:14" ht="12.75">
      <c r="N349" s="54"/>
    </row>
    <row r="350" spans="14:14" ht="12.75">
      <c r="N350" s="54"/>
    </row>
    <row r="351" spans="14:14" ht="12.75">
      <c r="N351" s="54"/>
    </row>
    <row r="352" spans="14:14" ht="12.75">
      <c r="N352" s="54"/>
    </row>
    <row r="353" spans="14:14" ht="12.75">
      <c r="N353" s="54"/>
    </row>
    <row r="354" spans="14:14" ht="12.75">
      <c r="N354" s="54"/>
    </row>
    <row r="355" spans="14:14" ht="12.75">
      <c r="N355" s="54"/>
    </row>
    <row r="356" spans="14:14" ht="12.75">
      <c r="N356" s="54"/>
    </row>
    <row r="357" spans="14:14" ht="12.75">
      <c r="N357" s="54"/>
    </row>
    <row r="358" spans="14:14" ht="12.75">
      <c r="N358" s="54"/>
    </row>
    <row r="359" spans="14:14" ht="12.75">
      <c r="N359" s="54"/>
    </row>
    <row r="360" spans="14:14" ht="12.75">
      <c r="N360" s="54"/>
    </row>
    <row r="361" spans="14:14" ht="12.75">
      <c r="N361" s="54"/>
    </row>
    <row r="362" spans="14:14" ht="12.75">
      <c r="N362" s="54"/>
    </row>
    <row r="363" spans="14:14" ht="12.75">
      <c r="N363" s="54"/>
    </row>
    <row r="364" spans="14:14" ht="12.75">
      <c r="N364" s="54"/>
    </row>
    <row r="365" spans="14:14" ht="12.75">
      <c r="N365" s="54"/>
    </row>
    <row r="366" spans="14:14" ht="12.75">
      <c r="N366" s="54"/>
    </row>
    <row r="367" spans="14:14" ht="12.75">
      <c r="N367" s="54"/>
    </row>
    <row r="368" spans="14:14" ht="12.75">
      <c r="N368" s="54"/>
    </row>
    <row r="369" spans="14:14" ht="12.75">
      <c r="N369" s="54"/>
    </row>
    <row r="370" spans="14:14" ht="12.75">
      <c r="N370" s="54"/>
    </row>
    <row r="371" spans="14:14" ht="12.75">
      <c r="N371" s="54"/>
    </row>
    <row r="372" spans="14:14" ht="12.75">
      <c r="N372" s="54"/>
    </row>
    <row r="373" spans="14:14" ht="12.75">
      <c r="N373" s="54"/>
    </row>
    <row r="374" spans="14:14" ht="12.75">
      <c r="N374" s="54"/>
    </row>
    <row r="375" spans="14:14" ht="12.75">
      <c r="N375" s="54"/>
    </row>
    <row r="376" spans="14:14" ht="12.75">
      <c r="N376" s="54"/>
    </row>
    <row r="377" spans="14:14" ht="12.75">
      <c r="N377" s="54"/>
    </row>
    <row r="378" spans="14:14" ht="12.75">
      <c r="N378" s="54"/>
    </row>
    <row r="379" spans="14:14" ht="12.75">
      <c r="N379" s="54"/>
    </row>
    <row r="380" spans="14:14" ht="12.75">
      <c r="N380" s="54"/>
    </row>
    <row r="381" spans="14:14" ht="12.75">
      <c r="N381" s="54"/>
    </row>
    <row r="382" spans="14:14" ht="12.75">
      <c r="N382" s="54"/>
    </row>
    <row r="383" spans="14:14" ht="12.75">
      <c r="N383" s="54"/>
    </row>
    <row r="384" spans="14:14" ht="12.75">
      <c r="N384" s="54"/>
    </row>
    <row r="385" spans="14:14" ht="12.75">
      <c r="N385" s="54"/>
    </row>
    <row r="386" spans="14:14" ht="12.75">
      <c r="N386" s="54"/>
    </row>
    <row r="387" spans="14:14" ht="12.75">
      <c r="N387" s="54"/>
    </row>
    <row r="388" spans="14:14" ht="12.75">
      <c r="N388" s="54"/>
    </row>
    <row r="389" spans="14:14" ht="12.75">
      <c r="N389" s="54"/>
    </row>
    <row r="390" spans="14:14" ht="12.75">
      <c r="N390" s="54"/>
    </row>
    <row r="391" spans="14:14" ht="12.75">
      <c r="N391" s="54"/>
    </row>
    <row r="392" spans="14:14" ht="12.75">
      <c r="N392" s="54"/>
    </row>
    <row r="393" spans="14:14" ht="12.75">
      <c r="N393" s="54"/>
    </row>
    <row r="394" spans="14:14" ht="12.75">
      <c r="N394" s="54"/>
    </row>
    <row r="395" spans="14:14" ht="12.75">
      <c r="N395" s="54"/>
    </row>
    <row r="396" spans="14:14" ht="12.75">
      <c r="N396" s="54"/>
    </row>
    <row r="397" spans="14:14" ht="12.75">
      <c r="N397" s="54"/>
    </row>
    <row r="398" spans="14:14" ht="12.75">
      <c r="N398" s="54"/>
    </row>
    <row r="399" spans="14:14" ht="12.75">
      <c r="N399" s="54"/>
    </row>
    <row r="400" spans="14:14" ht="12.75">
      <c r="N400" s="54"/>
    </row>
    <row r="401" spans="14:14" ht="12.75">
      <c r="N401" s="54"/>
    </row>
    <row r="402" spans="14:14" ht="12.75">
      <c r="N402" s="54"/>
    </row>
    <row r="403" spans="14:14" ht="12.75">
      <c r="N403" s="54"/>
    </row>
    <row r="404" spans="14:14" ht="12.75">
      <c r="N404" s="54"/>
    </row>
    <row r="405" spans="14:14" ht="12.75">
      <c r="N405" s="54"/>
    </row>
    <row r="406" spans="14:14" ht="12.75">
      <c r="N406" s="54"/>
    </row>
    <row r="407" spans="14:14" ht="12.75">
      <c r="N407" s="54"/>
    </row>
    <row r="408" spans="14:14" ht="12.75">
      <c r="N408" s="54"/>
    </row>
    <row r="409" spans="14:14" ht="12.75">
      <c r="N409" s="54"/>
    </row>
    <row r="410" spans="14:14" ht="12.75">
      <c r="N410" s="54"/>
    </row>
    <row r="411" spans="14:14" ht="12.75">
      <c r="N411" s="54"/>
    </row>
    <row r="412" spans="14:14" ht="12.75">
      <c r="N412" s="54"/>
    </row>
    <row r="413" spans="14:14" ht="12.75">
      <c r="N413" s="54"/>
    </row>
    <row r="414" spans="14:14" ht="12.75">
      <c r="N414" s="54"/>
    </row>
    <row r="415" spans="14:14" ht="12.75">
      <c r="N415" s="54"/>
    </row>
    <row r="416" spans="14:14" ht="12.75">
      <c r="N416" s="54"/>
    </row>
    <row r="417" spans="14:14" ht="12.75">
      <c r="N417" s="54"/>
    </row>
    <row r="418" spans="14:14" ht="12.75">
      <c r="N418" s="54"/>
    </row>
    <row r="419" spans="14:14" ht="12.75">
      <c r="N419" s="54"/>
    </row>
    <row r="420" spans="14:14" ht="12.75">
      <c r="N420" s="54"/>
    </row>
    <row r="421" spans="14:14" ht="12.75">
      <c r="N421" s="54"/>
    </row>
    <row r="422" spans="14:14" ht="12.75">
      <c r="N422" s="54"/>
    </row>
    <row r="423" spans="14:14" ht="12.75">
      <c r="N423" s="54"/>
    </row>
    <row r="424" spans="14:14" ht="12.75">
      <c r="N424" s="54"/>
    </row>
    <row r="425" spans="14:14" ht="12.75">
      <c r="N425" s="54"/>
    </row>
    <row r="426" spans="14:14" ht="12.75">
      <c r="N426" s="54"/>
    </row>
    <row r="427" spans="14:14" ht="12.75">
      <c r="N427" s="54"/>
    </row>
    <row r="428" spans="14:14" ht="12.75">
      <c r="N428" s="54"/>
    </row>
    <row r="429" spans="14:14" ht="12.75">
      <c r="N429" s="54"/>
    </row>
    <row r="430" spans="14:14" ht="12.75">
      <c r="N430" s="54"/>
    </row>
    <row r="431" spans="14:14" ht="12.75">
      <c r="N431" s="54"/>
    </row>
    <row r="432" spans="14:14" ht="12.75">
      <c r="N432" s="54"/>
    </row>
    <row r="433" spans="14:14" ht="12.75">
      <c r="N433" s="54"/>
    </row>
    <row r="434" spans="14:14" ht="12.75">
      <c r="N434" s="54"/>
    </row>
    <row r="435" spans="14:14" ht="12.75">
      <c r="N435" s="54"/>
    </row>
    <row r="436" spans="14:14" ht="12.75">
      <c r="N436" s="54"/>
    </row>
    <row r="437" spans="14:14" ht="12.75">
      <c r="N437" s="54"/>
    </row>
    <row r="438" spans="14:14" ht="12.75">
      <c r="N438" s="54"/>
    </row>
    <row r="439" spans="14:14" ht="12.75">
      <c r="N439" s="54"/>
    </row>
    <row r="440" spans="14:14" ht="12.75">
      <c r="N440" s="54"/>
    </row>
    <row r="441" spans="14:14" ht="12.75">
      <c r="N441" s="54"/>
    </row>
    <row r="442" spans="14:14" ht="12.75">
      <c r="N442" s="54"/>
    </row>
    <row r="443" spans="14:14" ht="12.75">
      <c r="N443" s="54"/>
    </row>
    <row r="444" spans="14:14" ht="12.75">
      <c r="N444" s="54"/>
    </row>
    <row r="445" spans="14:14" ht="12.75">
      <c r="N445" s="54"/>
    </row>
    <row r="446" spans="14:14" ht="12.75">
      <c r="N446" s="54"/>
    </row>
    <row r="447" spans="14:14" ht="12.75">
      <c r="N447" s="54"/>
    </row>
    <row r="448" spans="14:14" ht="12.75">
      <c r="N448" s="54"/>
    </row>
    <row r="449" spans="14:14" ht="12.75">
      <c r="N449" s="54"/>
    </row>
    <row r="450" spans="14:14" ht="12.75">
      <c r="N450" s="54"/>
    </row>
    <row r="451" spans="14:14" ht="12.75">
      <c r="N451" s="54"/>
    </row>
    <row r="452" spans="14:14" ht="12.75">
      <c r="N452" s="54"/>
    </row>
    <row r="453" spans="14:14" ht="12.75">
      <c r="N453" s="54"/>
    </row>
    <row r="454" spans="14:14" ht="12.75">
      <c r="N454" s="54"/>
    </row>
    <row r="455" spans="14:14" ht="12.75">
      <c r="N455" s="54"/>
    </row>
    <row r="456" spans="14:14" ht="12.75">
      <c r="N456" s="54"/>
    </row>
    <row r="457" spans="14:14" ht="12.75">
      <c r="N457" s="54"/>
    </row>
    <row r="458" spans="14:14" ht="12.75">
      <c r="N458" s="54"/>
    </row>
    <row r="459" spans="14:14" ht="12.75">
      <c r="N459" s="54"/>
    </row>
    <row r="460" spans="14:14" ht="12.75">
      <c r="N460" s="54"/>
    </row>
    <row r="461" spans="14:14" ht="12.75">
      <c r="N461" s="54"/>
    </row>
    <row r="462" spans="14:14" ht="12.75">
      <c r="N462" s="54"/>
    </row>
    <row r="463" spans="14:14" ht="12.75">
      <c r="N463" s="54"/>
    </row>
    <row r="464" spans="14:14" ht="12.75">
      <c r="N464" s="54"/>
    </row>
    <row r="465" spans="14:14" ht="12.75">
      <c r="N465" s="54"/>
    </row>
    <row r="466" spans="14:14" ht="12.75">
      <c r="N466" s="54"/>
    </row>
    <row r="467" spans="14:14" ht="12.75">
      <c r="N467" s="54"/>
    </row>
    <row r="468" spans="14:14" ht="12.75">
      <c r="N468" s="54"/>
    </row>
    <row r="469" spans="14:14" ht="12.75">
      <c r="N469" s="54"/>
    </row>
    <row r="470" spans="14:14" ht="12.75">
      <c r="N470" s="54"/>
    </row>
    <row r="471" spans="14:14" ht="12.75">
      <c r="N471" s="54"/>
    </row>
    <row r="472" spans="14:14" ht="12.75">
      <c r="N472" s="54"/>
    </row>
    <row r="473" spans="14:14" ht="12.75">
      <c r="N473" s="54"/>
    </row>
    <row r="474" spans="14:14" ht="12.75">
      <c r="N474" s="54"/>
    </row>
    <row r="475" spans="14:14" ht="12.75">
      <c r="N475" s="54"/>
    </row>
    <row r="476" spans="14:14" ht="12.75">
      <c r="N476" s="54"/>
    </row>
    <row r="477" spans="14:14" ht="12.75">
      <c r="N477" s="54"/>
    </row>
    <row r="478" spans="14:14" ht="12.75">
      <c r="N478" s="54"/>
    </row>
    <row r="479" spans="14:14" ht="12.75">
      <c r="N479" s="54"/>
    </row>
    <row r="480" spans="14:14" ht="12.75">
      <c r="N480" s="54"/>
    </row>
    <row r="481" spans="14:14" ht="12.75">
      <c r="N481" s="54"/>
    </row>
    <row r="482" spans="14:14" ht="12.75">
      <c r="N482" s="54"/>
    </row>
    <row r="483" spans="14:14" ht="12.75">
      <c r="N483" s="54"/>
    </row>
    <row r="484" spans="14:14" ht="12.75">
      <c r="N484" s="54"/>
    </row>
    <row r="485" spans="14:14" ht="12.75">
      <c r="N485" s="54"/>
    </row>
    <row r="486" spans="14:14" ht="12.75">
      <c r="N486" s="54"/>
    </row>
    <row r="487" spans="14:14" ht="12.75">
      <c r="N487" s="54"/>
    </row>
    <row r="488" spans="14:14" ht="12.75">
      <c r="N488" s="54"/>
    </row>
    <row r="489" spans="14:14" ht="12.75">
      <c r="N489" s="54"/>
    </row>
    <row r="490" spans="14:14" ht="12.75">
      <c r="N490" s="54"/>
    </row>
    <row r="491" spans="14:14" ht="12.75">
      <c r="N491" s="54"/>
    </row>
    <row r="492" spans="14:14" ht="12.75">
      <c r="N492" s="54"/>
    </row>
    <row r="493" spans="14:14" ht="12.75">
      <c r="N493" s="54"/>
    </row>
    <row r="494" spans="14:14" ht="12.75">
      <c r="N494" s="54"/>
    </row>
    <row r="495" spans="14:14" ht="12.75">
      <c r="N495" s="54"/>
    </row>
    <row r="496" spans="14:14" ht="12.75">
      <c r="N496" s="54"/>
    </row>
    <row r="497" spans="14:14" ht="12.75">
      <c r="N497" s="54"/>
    </row>
    <row r="498" spans="14:14" ht="12.75">
      <c r="N498" s="54"/>
    </row>
    <row r="499" spans="14:14" ht="12.75">
      <c r="N499" s="54"/>
    </row>
    <row r="500" spans="14:14" ht="12.75">
      <c r="N500" s="54"/>
    </row>
    <row r="501" spans="14:14" ht="12.75">
      <c r="N501" s="54"/>
    </row>
    <row r="502" spans="14:14" ht="12.75">
      <c r="N502" s="54"/>
    </row>
    <row r="503" spans="14:14" ht="12.75">
      <c r="N503" s="54"/>
    </row>
    <row r="504" spans="14:14" ht="12.75">
      <c r="N504" s="54"/>
    </row>
    <row r="505" spans="14:14" ht="12.75">
      <c r="N505" s="54"/>
    </row>
    <row r="506" spans="14:14" ht="12.75">
      <c r="N506" s="54"/>
    </row>
    <row r="507" spans="14:14" ht="12.75">
      <c r="N507" s="54"/>
    </row>
    <row r="508" spans="14:14" ht="12.75">
      <c r="N508" s="54"/>
    </row>
    <row r="509" spans="14:14" ht="12.75">
      <c r="N509" s="54"/>
    </row>
    <row r="510" spans="14:14" ht="12.75">
      <c r="N510" s="54"/>
    </row>
    <row r="511" spans="14:14" ht="12.75">
      <c r="N511" s="54"/>
    </row>
    <row r="512" spans="14:14" ht="12.75">
      <c r="N512" s="54"/>
    </row>
    <row r="513" spans="14:14" ht="12.75">
      <c r="N513" s="54"/>
    </row>
    <row r="514" spans="14:14" ht="12.75">
      <c r="N514" s="54"/>
    </row>
    <row r="515" spans="14:14" ht="12.75">
      <c r="N515" s="54"/>
    </row>
    <row r="516" spans="14:14" ht="12.75">
      <c r="N516" s="54"/>
    </row>
    <row r="517" spans="14:14" ht="12.75">
      <c r="N517" s="54"/>
    </row>
    <row r="518" spans="14:14" ht="12.75">
      <c r="N518" s="54"/>
    </row>
    <row r="519" spans="14:14" ht="12.75">
      <c r="N519" s="54"/>
    </row>
    <row r="520" spans="14:14" ht="12.75">
      <c r="N520" s="54"/>
    </row>
    <row r="521" spans="14:14" ht="12.75">
      <c r="N521" s="54"/>
    </row>
    <row r="522" spans="14:14" ht="12.75">
      <c r="N522" s="54"/>
    </row>
    <row r="523" spans="14:14" ht="12.75">
      <c r="N523" s="54"/>
    </row>
    <row r="524" spans="14:14" ht="12.75">
      <c r="N524" s="54"/>
    </row>
    <row r="525" spans="14:14" ht="12.75">
      <c r="N525" s="54"/>
    </row>
    <row r="526" spans="14:14" ht="12.75">
      <c r="N526" s="54"/>
    </row>
    <row r="527" spans="14:14" ht="12.75">
      <c r="N527" s="54"/>
    </row>
    <row r="528" spans="14:14" ht="12.75">
      <c r="N528" s="54"/>
    </row>
    <row r="529" spans="14:14" ht="12.75">
      <c r="N529" s="54"/>
    </row>
    <row r="530" spans="14:14" ht="12.75">
      <c r="N530" s="54"/>
    </row>
    <row r="531" spans="14:14" ht="12.75">
      <c r="N531" s="54"/>
    </row>
    <row r="532" spans="14:14" ht="12.75">
      <c r="N532" s="54"/>
    </row>
    <row r="533" spans="14:14" ht="12.75">
      <c r="N533" s="54"/>
    </row>
    <row r="534" spans="14:14" ht="12.75">
      <c r="N534" s="54"/>
    </row>
    <row r="535" spans="14:14" ht="12.75">
      <c r="N535" s="54"/>
    </row>
    <row r="536" spans="14:14" ht="12.75">
      <c r="N536" s="54"/>
    </row>
    <row r="537" spans="14:14" ht="12.75">
      <c r="N537" s="54"/>
    </row>
    <row r="538" spans="14:14" ht="12.75">
      <c r="N538" s="54"/>
    </row>
    <row r="539" spans="14:14" ht="12.75">
      <c r="N539" s="54"/>
    </row>
    <row r="540" spans="14:14" ht="12.75">
      <c r="N540" s="54"/>
    </row>
    <row r="541" spans="14:14" ht="12.75">
      <c r="N541" s="54"/>
    </row>
    <row r="542" spans="14:14" ht="12.75">
      <c r="N542" s="54"/>
    </row>
    <row r="543" spans="14:14" ht="12.75">
      <c r="N543" s="54"/>
    </row>
    <row r="544" spans="14:14" ht="12.75">
      <c r="N544" s="54"/>
    </row>
    <row r="545" spans="14:14" ht="12.75">
      <c r="N545" s="54"/>
    </row>
    <row r="546" spans="14:14" ht="12.75">
      <c r="N546" s="54"/>
    </row>
    <row r="547" spans="14:14" ht="12.75">
      <c r="N547" s="54"/>
    </row>
    <row r="548" spans="14:14" ht="12.75">
      <c r="N548" s="54"/>
    </row>
    <row r="549" spans="14:14" ht="12.75">
      <c r="N549" s="54"/>
    </row>
    <row r="550" spans="14:14" ht="12.75">
      <c r="N550" s="54"/>
    </row>
    <row r="551" spans="14:14" ht="12.75">
      <c r="N551" s="54"/>
    </row>
    <row r="552" spans="14:14" ht="12.75">
      <c r="N552" s="54"/>
    </row>
    <row r="553" spans="14:14" ht="12.75">
      <c r="N553" s="54"/>
    </row>
    <row r="554" spans="14:14" ht="12.75">
      <c r="N554" s="54"/>
    </row>
    <row r="555" spans="14:14" ht="12.75">
      <c r="N555" s="54"/>
    </row>
    <row r="556" spans="14:14" ht="12.75">
      <c r="N556" s="54"/>
    </row>
    <row r="557" spans="14:14" ht="12.75">
      <c r="N557" s="54"/>
    </row>
    <row r="558" spans="14:14" ht="12.75">
      <c r="N558" s="54"/>
    </row>
    <row r="559" spans="14:14" ht="12.75">
      <c r="N559" s="54"/>
    </row>
    <row r="560" spans="14:14" ht="12.75">
      <c r="N560" s="54"/>
    </row>
    <row r="561" spans="14:14" ht="12.75">
      <c r="N561" s="54"/>
    </row>
    <row r="562" spans="14:14" ht="12.75">
      <c r="N562" s="54"/>
    </row>
    <row r="563" spans="14:14" ht="12.75">
      <c r="N563" s="54"/>
    </row>
    <row r="564" spans="14:14" ht="12.75">
      <c r="N564" s="54"/>
    </row>
    <row r="565" spans="14:14" ht="12.75">
      <c r="N565" s="54"/>
    </row>
    <row r="566" spans="14:14" ht="12.75">
      <c r="N566" s="54"/>
    </row>
    <row r="567" spans="14:14" ht="12.75">
      <c r="N567" s="54"/>
    </row>
    <row r="568" spans="14:14" ht="12.75">
      <c r="N568" s="54"/>
    </row>
    <row r="569" spans="14:14" ht="12.75">
      <c r="N569" s="54"/>
    </row>
    <row r="570" spans="14:14" ht="12.75">
      <c r="N570" s="54"/>
    </row>
    <row r="571" spans="14:14" ht="12.75">
      <c r="N571" s="54"/>
    </row>
    <row r="572" spans="14:14" ht="12.75">
      <c r="N572" s="54"/>
    </row>
    <row r="573" spans="14:14" ht="12.75">
      <c r="N573" s="54"/>
    </row>
    <row r="574" spans="14:14" ht="12.75">
      <c r="N574" s="54"/>
    </row>
    <row r="575" spans="14:14" ht="12.75">
      <c r="N575" s="54"/>
    </row>
    <row r="576" spans="14:14" ht="12.75">
      <c r="N576" s="54"/>
    </row>
    <row r="577" spans="14:14" ht="12.75">
      <c r="N577" s="54"/>
    </row>
    <row r="578" spans="14:14" ht="12.75">
      <c r="N578" s="54"/>
    </row>
    <row r="579" spans="14:14" ht="12.75">
      <c r="N579" s="54"/>
    </row>
    <row r="580" spans="14:14" ht="12.75">
      <c r="N580" s="54"/>
    </row>
    <row r="581" spans="14:14" ht="12.75">
      <c r="N581" s="54"/>
    </row>
    <row r="582" spans="14:14" ht="12.75">
      <c r="N582" s="54"/>
    </row>
    <row r="583" spans="14:14" ht="12.75">
      <c r="N583" s="54"/>
    </row>
    <row r="584" spans="14:14" ht="12.75">
      <c r="N584" s="54"/>
    </row>
    <row r="585" spans="14:14" ht="12.75">
      <c r="N585" s="54"/>
    </row>
    <row r="586" spans="14:14" ht="12.75">
      <c r="N586" s="54"/>
    </row>
    <row r="587" spans="14:14" ht="12.75">
      <c r="N587" s="54"/>
    </row>
    <row r="588" spans="14:14" ht="12.75">
      <c r="N588" s="54"/>
    </row>
    <row r="589" spans="14:14" ht="12.75">
      <c r="N589" s="54"/>
    </row>
    <row r="590" spans="14:14" ht="12.75">
      <c r="N590" s="54"/>
    </row>
    <row r="591" spans="14:14" ht="12.75">
      <c r="N591" s="54"/>
    </row>
    <row r="592" spans="14:14" ht="12.75">
      <c r="N592" s="54"/>
    </row>
    <row r="593" spans="14:14" ht="12.75">
      <c r="N593" s="54"/>
    </row>
    <row r="594" spans="14:14" ht="12.75">
      <c r="N594" s="54"/>
    </row>
    <row r="595" spans="14:14" ht="12.75">
      <c r="N595" s="54"/>
    </row>
    <row r="596" spans="14:14" ht="12.75">
      <c r="N596" s="54"/>
    </row>
    <row r="597" spans="14:14" ht="12.75">
      <c r="N597" s="54"/>
    </row>
    <row r="598" spans="14:14" ht="12.75">
      <c r="N598" s="54"/>
    </row>
    <row r="599" spans="14:14" ht="12.75">
      <c r="N599" s="54"/>
    </row>
    <row r="600" spans="14:14" ht="12.75">
      <c r="N600" s="54"/>
    </row>
    <row r="601" spans="14:14" ht="12.75">
      <c r="N601" s="54"/>
    </row>
    <row r="602" spans="14:14" ht="12.75">
      <c r="N602" s="54"/>
    </row>
    <row r="603" spans="14:14" ht="12.75">
      <c r="N603" s="54"/>
    </row>
    <row r="604" spans="14:14" ht="12.75">
      <c r="N604" s="54"/>
    </row>
    <row r="605" spans="14:14" ht="12.75">
      <c r="N605" s="54"/>
    </row>
    <row r="606" spans="14:14" ht="12.75">
      <c r="N606" s="54"/>
    </row>
    <row r="607" spans="14:14" ht="12.75">
      <c r="N607" s="54"/>
    </row>
    <row r="608" spans="14:14" ht="12.75">
      <c r="N608" s="54"/>
    </row>
    <row r="609" spans="14:14" ht="12.75">
      <c r="N609" s="54"/>
    </row>
    <row r="610" spans="14:14" ht="12.75">
      <c r="N610" s="54"/>
    </row>
    <row r="611" spans="14:14" ht="12.75">
      <c r="N611" s="54"/>
    </row>
    <row r="612" spans="14:14" ht="12.75">
      <c r="N612" s="54"/>
    </row>
    <row r="613" spans="14:14" ht="12.75">
      <c r="N613" s="54"/>
    </row>
    <row r="614" spans="14:14" ht="12.75">
      <c r="N614" s="54"/>
    </row>
    <row r="615" spans="14:14" ht="12.75">
      <c r="N615" s="54"/>
    </row>
    <row r="616" spans="14:14" ht="12.75">
      <c r="N616" s="54"/>
    </row>
    <row r="617" spans="14:14" ht="12.75">
      <c r="N617" s="54"/>
    </row>
    <row r="618" spans="14:14" ht="12.75">
      <c r="N618" s="54"/>
    </row>
    <row r="619" spans="14:14" ht="12.75">
      <c r="N619" s="54"/>
    </row>
    <row r="620" spans="14:14" ht="12.75">
      <c r="N620" s="54"/>
    </row>
    <row r="621" spans="14:14" ht="12.75">
      <c r="N621" s="54"/>
    </row>
    <row r="622" spans="14:14" ht="12.75">
      <c r="N622" s="54"/>
    </row>
    <row r="623" spans="14:14" ht="12.75">
      <c r="N623" s="54"/>
    </row>
    <row r="624" spans="14:14" ht="12.75">
      <c r="N624" s="54"/>
    </row>
    <row r="625" spans="14:14" ht="12.75">
      <c r="N625" s="54"/>
    </row>
    <row r="626" spans="14:14" ht="12.75">
      <c r="N626" s="54"/>
    </row>
    <row r="627" spans="14:14" ht="12.75">
      <c r="N627" s="54"/>
    </row>
    <row r="628" spans="14:14" ht="12.75">
      <c r="N628" s="54"/>
    </row>
    <row r="629" spans="14:14" ht="12.75">
      <c r="N629" s="54"/>
    </row>
    <row r="630" spans="14:14" ht="12.75">
      <c r="N630" s="54"/>
    </row>
    <row r="631" spans="14:14" ht="12.75">
      <c r="N631" s="54"/>
    </row>
    <row r="632" spans="14:14" ht="12.75">
      <c r="N632" s="54"/>
    </row>
    <row r="633" spans="14:14" ht="12.75">
      <c r="N633" s="54"/>
    </row>
    <row r="634" spans="14:14" ht="12.75">
      <c r="N634" s="54"/>
    </row>
    <row r="635" spans="14:14" ht="12.75">
      <c r="N635" s="54"/>
    </row>
    <row r="636" spans="14:14" ht="12.75">
      <c r="N636" s="54"/>
    </row>
    <row r="637" spans="14:14" ht="12.75">
      <c r="N637" s="54"/>
    </row>
    <row r="638" spans="14:14" ht="12.75">
      <c r="N638" s="54"/>
    </row>
    <row r="639" spans="14:14" ht="12.75">
      <c r="N639" s="54"/>
    </row>
    <row r="640" spans="14:14" ht="12.75">
      <c r="N640" s="54"/>
    </row>
    <row r="641" spans="14:14" ht="12.75">
      <c r="N641" s="54"/>
    </row>
    <row r="642" spans="14:14" ht="12.75">
      <c r="N642" s="54"/>
    </row>
    <row r="643" spans="14:14" ht="12.75">
      <c r="N643" s="54"/>
    </row>
    <row r="644" spans="14:14" ht="12.75">
      <c r="N644" s="54"/>
    </row>
    <row r="645" spans="14:14" ht="12.75">
      <c r="N645" s="54"/>
    </row>
    <row r="646" spans="14:14" ht="12.75">
      <c r="N646" s="54"/>
    </row>
    <row r="647" spans="14:14" ht="12.75">
      <c r="N647" s="54"/>
    </row>
    <row r="648" spans="14:14" ht="12.75">
      <c r="N648" s="54"/>
    </row>
    <row r="649" spans="14:14" ht="12.75">
      <c r="N649" s="54"/>
    </row>
    <row r="650" spans="14:14" ht="12.75">
      <c r="N650" s="54"/>
    </row>
    <row r="651" spans="14:14" ht="12.75">
      <c r="N651" s="54"/>
    </row>
    <row r="652" spans="14:14" ht="12.75">
      <c r="N652" s="54"/>
    </row>
    <row r="653" spans="14:14" ht="12.75">
      <c r="N653" s="54"/>
    </row>
    <row r="654" spans="14:14" ht="12.75">
      <c r="N654" s="54"/>
    </row>
    <row r="655" spans="14:14" ht="12.75">
      <c r="N655" s="54"/>
    </row>
    <row r="656" spans="14:14" ht="12.75">
      <c r="N656" s="54"/>
    </row>
    <row r="657" spans="14:14" ht="12.75">
      <c r="N657" s="54"/>
    </row>
    <row r="658" spans="14:14" ht="12.75">
      <c r="N658" s="54"/>
    </row>
    <row r="659" spans="14:14" ht="12.75">
      <c r="N659" s="54"/>
    </row>
    <row r="660" spans="14:14" ht="12.75">
      <c r="N660" s="54"/>
    </row>
    <row r="661" spans="14:14" ht="12.75">
      <c r="N661" s="54"/>
    </row>
    <row r="662" spans="14:14" ht="12.75">
      <c r="N662" s="54"/>
    </row>
    <row r="663" spans="14:14" ht="12.75">
      <c r="N663" s="54"/>
    </row>
    <row r="664" spans="14:14" ht="12.75">
      <c r="N664" s="54"/>
    </row>
    <row r="665" spans="14:14" ht="12.75">
      <c r="N665" s="54"/>
    </row>
    <row r="666" spans="14:14" ht="12.75">
      <c r="N666" s="54"/>
    </row>
    <row r="667" spans="14:14" ht="12.75">
      <c r="N667" s="54"/>
    </row>
    <row r="668" spans="14:14" ht="12.75">
      <c r="N668" s="54"/>
    </row>
    <row r="669" spans="14:14" ht="12.75">
      <c r="N669" s="54"/>
    </row>
    <row r="670" spans="14:14" ht="12.75">
      <c r="N670" s="54"/>
    </row>
    <row r="671" spans="14:14" ht="12.75">
      <c r="N671" s="54"/>
    </row>
    <row r="672" spans="14:14" ht="12.75">
      <c r="N672" s="54"/>
    </row>
    <row r="673" spans="14:14" ht="12.75">
      <c r="N673" s="54"/>
    </row>
    <row r="674" spans="14:14" ht="12.75">
      <c r="N674" s="54"/>
    </row>
    <row r="675" spans="14:14" ht="12.75">
      <c r="N675" s="54"/>
    </row>
    <row r="676" spans="14:14" ht="12.75">
      <c r="N676" s="54"/>
    </row>
    <row r="677" spans="14:14" ht="12.75">
      <c r="N677" s="54"/>
    </row>
    <row r="678" spans="14:14" ht="12.75">
      <c r="N678" s="54"/>
    </row>
    <row r="679" spans="14:14" ht="12.75">
      <c r="N679" s="54"/>
    </row>
    <row r="680" spans="14:14" ht="12.75">
      <c r="N680" s="54"/>
    </row>
    <row r="681" spans="14:14" ht="12.75">
      <c r="N681" s="54"/>
    </row>
    <row r="682" spans="14:14" ht="12.75">
      <c r="N682" s="54"/>
    </row>
    <row r="683" spans="14:14" ht="12.75">
      <c r="N683" s="54"/>
    </row>
    <row r="684" spans="14:14" ht="12.75">
      <c r="N684" s="54"/>
    </row>
    <row r="685" spans="14:14" ht="12.75">
      <c r="N685" s="54"/>
    </row>
    <row r="686" spans="14:14" ht="12.75">
      <c r="N686" s="54"/>
    </row>
    <row r="687" spans="14:14" ht="12.75">
      <c r="N687" s="54"/>
    </row>
    <row r="688" spans="14:14" ht="12.75">
      <c r="N688" s="54"/>
    </row>
    <row r="689" spans="14:14" ht="12.75">
      <c r="N689" s="54"/>
    </row>
    <row r="690" spans="14:14" ht="12.75">
      <c r="N690" s="54"/>
    </row>
    <row r="691" spans="14:14" ht="12.75">
      <c r="N691" s="54"/>
    </row>
    <row r="692" spans="14:14" ht="12.75">
      <c r="N692" s="54"/>
    </row>
    <row r="693" spans="14:14" ht="12.75">
      <c r="N693" s="54"/>
    </row>
    <row r="694" spans="14:14" ht="12.75">
      <c r="N694" s="54"/>
    </row>
    <row r="695" spans="14:14" ht="12.75">
      <c r="N695" s="54"/>
    </row>
    <row r="696" spans="14:14" ht="12.75">
      <c r="N696" s="54"/>
    </row>
    <row r="697" spans="14:14" ht="12.75">
      <c r="N697" s="54"/>
    </row>
    <row r="698" spans="14:14" ht="12.75">
      <c r="N698" s="54"/>
    </row>
    <row r="699" spans="14:14" ht="12.75">
      <c r="N699" s="54"/>
    </row>
    <row r="700" spans="14:14" ht="12.75">
      <c r="N700" s="54"/>
    </row>
    <row r="701" spans="14:14" ht="12.75">
      <c r="N701" s="54"/>
    </row>
    <row r="702" spans="14:14" ht="12.75">
      <c r="N702" s="54"/>
    </row>
    <row r="703" spans="14:14" ht="12.75">
      <c r="N703" s="54"/>
    </row>
    <row r="704" spans="14:14" ht="12.75">
      <c r="N704" s="54"/>
    </row>
    <row r="705" spans="14:14" ht="12.75">
      <c r="N705" s="54"/>
    </row>
    <row r="706" spans="14:14" ht="12.75">
      <c r="N706" s="54"/>
    </row>
    <row r="707" spans="14:14" ht="12.75">
      <c r="N707" s="54"/>
    </row>
    <row r="708" spans="14:14" ht="12.75">
      <c r="N708" s="54"/>
    </row>
    <row r="709" spans="14:14" ht="12.75">
      <c r="N709" s="54"/>
    </row>
    <row r="710" spans="14:14" ht="12.75">
      <c r="N710" s="54"/>
    </row>
    <row r="711" spans="14:14" ht="12.75">
      <c r="N711" s="54"/>
    </row>
    <row r="712" spans="14:14" ht="12.75">
      <c r="N712" s="54"/>
    </row>
    <row r="713" spans="14:14" ht="12.75">
      <c r="N713" s="54"/>
    </row>
    <row r="714" spans="14:14" ht="12.75">
      <c r="N714" s="54"/>
    </row>
    <row r="715" spans="14:14" ht="12.75">
      <c r="N715" s="54"/>
    </row>
    <row r="716" spans="14:14" ht="12.75">
      <c r="N716" s="54"/>
    </row>
    <row r="717" spans="14:14" ht="12.75">
      <c r="N717" s="54"/>
    </row>
    <row r="718" spans="14:14" ht="12.75">
      <c r="N718" s="54"/>
    </row>
    <row r="719" spans="14:14" ht="12.75">
      <c r="N719" s="54"/>
    </row>
    <row r="720" spans="14:14" ht="12.75">
      <c r="N720" s="54"/>
    </row>
    <row r="721" spans="14:14" ht="12.75">
      <c r="N721" s="54"/>
    </row>
    <row r="722" spans="14:14" ht="12.75">
      <c r="N722" s="54"/>
    </row>
    <row r="723" spans="14:14" ht="12.75">
      <c r="N723" s="54"/>
    </row>
    <row r="724" spans="14:14" ht="12.75">
      <c r="N724" s="54"/>
    </row>
    <row r="725" spans="14:14" ht="12.75">
      <c r="N725" s="54"/>
    </row>
    <row r="726" spans="14:14" ht="12.75">
      <c r="N726" s="54"/>
    </row>
    <row r="727" spans="14:14" ht="12.75">
      <c r="N727" s="54"/>
    </row>
    <row r="728" spans="14:14" ht="12.75">
      <c r="N728" s="54"/>
    </row>
    <row r="729" spans="14:14" ht="12.75">
      <c r="N729" s="54"/>
    </row>
    <row r="730" spans="14:14" ht="12.75">
      <c r="N730" s="54"/>
    </row>
    <row r="731" spans="14:14" ht="12.75">
      <c r="N731" s="54"/>
    </row>
    <row r="732" spans="14:14" ht="12.75">
      <c r="N732" s="54"/>
    </row>
    <row r="733" spans="14:14" ht="12.75">
      <c r="N733" s="54"/>
    </row>
    <row r="734" spans="14:14" ht="12.75">
      <c r="N734" s="54"/>
    </row>
    <row r="735" spans="14:14" ht="12.75">
      <c r="N735" s="54"/>
    </row>
    <row r="736" spans="14:14" ht="12.75">
      <c r="N736" s="54"/>
    </row>
    <row r="737" spans="14:14" ht="12.75">
      <c r="N737" s="54"/>
    </row>
    <row r="738" spans="14:14" ht="12.75">
      <c r="N738" s="54"/>
    </row>
    <row r="739" spans="14:14" ht="12.75">
      <c r="N739" s="54"/>
    </row>
    <row r="740" spans="14:14" ht="12.75">
      <c r="N740" s="54"/>
    </row>
    <row r="741" spans="14:14" ht="12.75">
      <c r="N741" s="54"/>
    </row>
    <row r="742" spans="14:14" ht="12.75">
      <c r="N742" s="54"/>
    </row>
    <row r="743" spans="14:14" ht="12.75">
      <c r="N743" s="54"/>
    </row>
    <row r="744" spans="14:14" ht="12.75">
      <c r="N744" s="54"/>
    </row>
    <row r="745" spans="14:14" ht="12.75">
      <c r="N745" s="54"/>
    </row>
    <row r="746" spans="14:14" ht="12.75">
      <c r="N746" s="54"/>
    </row>
    <row r="747" spans="14:14" ht="12.75">
      <c r="N747" s="54"/>
    </row>
    <row r="748" spans="14:14" ht="12.75">
      <c r="N748" s="54"/>
    </row>
    <row r="749" spans="14:14" ht="12.75">
      <c r="N749" s="54"/>
    </row>
    <row r="750" spans="14:14" ht="12.75">
      <c r="N750" s="54"/>
    </row>
    <row r="751" spans="14:14" ht="12.75">
      <c r="N751" s="54"/>
    </row>
    <row r="752" spans="14:14" ht="12.75">
      <c r="N752" s="54"/>
    </row>
    <row r="753" spans="14:14" ht="12.75">
      <c r="N753" s="54"/>
    </row>
    <row r="754" spans="14:14" ht="12.75">
      <c r="N754" s="54"/>
    </row>
    <row r="755" spans="14:14" ht="12.75">
      <c r="N755" s="54"/>
    </row>
    <row r="756" spans="14:14" ht="12.75">
      <c r="N756" s="54"/>
    </row>
    <row r="757" spans="14:14" ht="12.75">
      <c r="N757" s="54"/>
    </row>
    <row r="758" spans="14:14" ht="12.75">
      <c r="N758" s="54"/>
    </row>
    <row r="759" spans="14:14" ht="12.75">
      <c r="N759" s="54"/>
    </row>
    <row r="760" spans="14:14" ht="12.75">
      <c r="N760" s="54"/>
    </row>
    <row r="761" spans="14:14" ht="12.75">
      <c r="N761" s="54"/>
    </row>
    <row r="762" spans="14:14" ht="12.75">
      <c r="N762" s="54"/>
    </row>
    <row r="763" spans="14:14" ht="12.75">
      <c r="N763" s="54"/>
    </row>
    <row r="764" spans="14:14" ht="12.75">
      <c r="N764" s="54"/>
    </row>
    <row r="765" spans="14:14" ht="12.75">
      <c r="N765" s="54"/>
    </row>
    <row r="766" spans="14:14" ht="12.75">
      <c r="N766" s="54"/>
    </row>
    <row r="767" spans="14:14" ht="12.75">
      <c r="N767" s="54"/>
    </row>
    <row r="768" spans="14:14" ht="12.75">
      <c r="N768" s="54"/>
    </row>
    <row r="769" spans="14:14" ht="12.75">
      <c r="N769" s="54"/>
    </row>
    <row r="770" spans="14:14" ht="12.75">
      <c r="N770" s="54"/>
    </row>
    <row r="771" spans="14:14" ht="12.75">
      <c r="N771" s="54"/>
    </row>
    <row r="772" spans="14:14" ht="12.75">
      <c r="N772" s="54"/>
    </row>
    <row r="773" spans="14:14" ht="12.75">
      <c r="N773" s="54"/>
    </row>
    <row r="774" spans="14:14" ht="12.75">
      <c r="N774" s="54"/>
    </row>
    <row r="775" spans="14:14" ht="12.75">
      <c r="N775" s="54"/>
    </row>
    <row r="776" spans="14:14" ht="12.75">
      <c r="N776" s="54"/>
    </row>
    <row r="777" spans="14:14" ht="12.75">
      <c r="N777" s="54"/>
    </row>
    <row r="778" spans="14:14" ht="12.75">
      <c r="N778" s="54"/>
    </row>
    <row r="779" spans="14:14" ht="12.75">
      <c r="N779" s="54"/>
    </row>
    <row r="780" spans="14:14" ht="12.75">
      <c r="N780" s="54"/>
    </row>
    <row r="781" spans="14:14" ht="12.75">
      <c r="N781" s="54"/>
    </row>
    <row r="782" spans="14:14" ht="12.75">
      <c r="N782" s="54"/>
    </row>
    <row r="783" spans="14:14" ht="12.75">
      <c r="N783" s="54"/>
    </row>
    <row r="784" spans="14:14" ht="12.75">
      <c r="N784" s="54"/>
    </row>
    <row r="785" spans="14:14" ht="12.75">
      <c r="N785" s="54"/>
    </row>
    <row r="786" spans="14:14" ht="12.75">
      <c r="N786" s="54"/>
    </row>
    <row r="787" spans="14:14" ht="12.75">
      <c r="N787" s="54"/>
    </row>
    <row r="788" spans="14:14" ht="12.75">
      <c r="N788" s="54"/>
    </row>
    <row r="789" spans="14:14" ht="12.75">
      <c r="N789" s="54"/>
    </row>
    <row r="790" spans="14:14" ht="12.75">
      <c r="N790" s="54"/>
    </row>
    <row r="791" spans="14:14" ht="12.75">
      <c r="N791" s="54"/>
    </row>
    <row r="792" spans="14:14" ht="12.75">
      <c r="N792" s="54"/>
    </row>
    <row r="793" spans="14:14" ht="12.75">
      <c r="N793" s="54"/>
    </row>
    <row r="794" spans="14:14" ht="12.75">
      <c r="N794" s="54"/>
    </row>
    <row r="795" spans="14:14" ht="12.75">
      <c r="N795" s="54"/>
    </row>
    <row r="796" spans="14:14" ht="12.75">
      <c r="N796" s="54"/>
    </row>
    <row r="797" spans="14:14" ht="12.75">
      <c r="N797" s="54"/>
    </row>
    <row r="798" spans="14:14" ht="12.75">
      <c r="N798" s="54"/>
    </row>
    <row r="799" spans="14:14" ht="12.75">
      <c r="N799" s="54"/>
    </row>
    <row r="800" spans="14:14" ht="12.75">
      <c r="N800" s="54"/>
    </row>
    <row r="801" spans="14:14" ht="12.75">
      <c r="N801" s="54"/>
    </row>
    <row r="802" spans="14:14" ht="12.75">
      <c r="N802" s="54"/>
    </row>
    <row r="803" spans="14:14" ht="12.75">
      <c r="N803" s="54"/>
    </row>
    <row r="804" spans="14:14" ht="12.75">
      <c r="N804" s="54"/>
    </row>
    <row r="805" spans="14:14" ht="12.75">
      <c r="N805" s="54"/>
    </row>
    <row r="806" spans="14:14" ht="12.75">
      <c r="N806" s="54"/>
    </row>
    <row r="807" spans="14:14" ht="12.75">
      <c r="N807" s="54"/>
    </row>
    <row r="808" spans="14:14" ht="12.75">
      <c r="N808" s="54"/>
    </row>
    <row r="809" spans="14:14" ht="12.75">
      <c r="N809" s="54"/>
    </row>
    <row r="810" spans="14:14" ht="12.75">
      <c r="N810" s="54"/>
    </row>
    <row r="811" spans="14:14" ht="12.75">
      <c r="N811" s="54"/>
    </row>
    <row r="812" spans="14:14" ht="12.75">
      <c r="N812" s="54"/>
    </row>
    <row r="813" spans="14:14" ht="12.75">
      <c r="N813" s="54"/>
    </row>
    <row r="814" spans="14:14" ht="12.75">
      <c r="N814" s="54"/>
    </row>
    <row r="815" spans="14:14" ht="12.75">
      <c r="N815" s="54"/>
    </row>
    <row r="816" spans="14:14" ht="12.75">
      <c r="N816" s="54"/>
    </row>
    <row r="817" spans="14:14" ht="12.75">
      <c r="N817" s="54"/>
    </row>
    <row r="818" spans="14:14" ht="12.75">
      <c r="N818" s="54"/>
    </row>
    <row r="819" spans="14:14" ht="12.75">
      <c r="N819" s="54"/>
    </row>
    <row r="820" spans="14:14" ht="12.75">
      <c r="N820" s="54"/>
    </row>
    <row r="821" spans="14:14" ht="12.75">
      <c r="N821" s="54"/>
    </row>
    <row r="822" spans="14:14" ht="12.75">
      <c r="N822" s="54"/>
    </row>
    <row r="823" spans="14:14" ht="12.75">
      <c r="N823" s="54"/>
    </row>
    <row r="824" spans="14:14" ht="12.75">
      <c r="N824" s="54"/>
    </row>
    <row r="825" spans="14:14" ht="12.75">
      <c r="N825" s="54"/>
    </row>
    <row r="826" spans="14:14" ht="12.75">
      <c r="N826" s="54"/>
    </row>
    <row r="827" spans="14:14" ht="12.75">
      <c r="N827" s="54"/>
    </row>
    <row r="828" spans="14:14" ht="12.75">
      <c r="N828" s="54"/>
    </row>
    <row r="829" spans="14:14" ht="12.75">
      <c r="N829" s="54"/>
    </row>
    <row r="830" spans="14:14" ht="12.75">
      <c r="N830" s="54"/>
    </row>
    <row r="831" spans="14:14" ht="12.75">
      <c r="N831" s="54"/>
    </row>
    <row r="832" spans="14:14" ht="12.75">
      <c r="N832" s="54"/>
    </row>
    <row r="833" spans="14:14" ht="12.75">
      <c r="N833" s="54"/>
    </row>
    <row r="834" spans="14:14" ht="12.75">
      <c r="N834" s="54"/>
    </row>
    <row r="835" spans="14:14" ht="12.75">
      <c r="N835" s="54"/>
    </row>
    <row r="836" spans="14:14" ht="12.75">
      <c r="N836" s="54"/>
    </row>
    <row r="837" spans="14:14" ht="12.75">
      <c r="N837" s="54"/>
    </row>
    <row r="838" spans="14:14" ht="12.75">
      <c r="N838" s="54"/>
    </row>
    <row r="839" spans="14:14" ht="12.75">
      <c r="N839" s="54"/>
    </row>
    <row r="840" spans="14:14" ht="12.75">
      <c r="N840" s="54"/>
    </row>
    <row r="841" spans="14:14" ht="12.75">
      <c r="N841" s="54"/>
    </row>
    <row r="842" spans="14:14" ht="12.75">
      <c r="N842" s="54"/>
    </row>
    <row r="843" spans="14:14" ht="12.75">
      <c r="N843" s="54"/>
    </row>
    <row r="844" spans="14:14" ht="12.75">
      <c r="N844" s="54"/>
    </row>
    <row r="845" spans="14:14" ht="12.75">
      <c r="N845" s="54"/>
    </row>
    <row r="846" spans="14:14" ht="12.75">
      <c r="N846" s="54"/>
    </row>
    <row r="847" spans="14:14" ht="12.75">
      <c r="N847" s="54"/>
    </row>
    <row r="848" spans="14:14" ht="12.75">
      <c r="N848" s="54"/>
    </row>
    <row r="849" spans="14:14" ht="12.75">
      <c r="N849" s="54"/>
    </row>
    <row r="850" spans="14:14" ht="12.75">
      <c r="N850" s="54"/>
    </row>
    <row r="851" spans="14:14" ht="12.75">
      <c r="N851" s="54"/>
    </row>
    <row r="852" spans="14:14" ht="12.75">
      <c r="N852" s="54"/>
    </row>
    <row r="853" spans="14:14" ht="12.75">
      <c r="N853" s="54"/>
    </row>
    <row r="854" spans="14:14" ht="12.75">
      <c r="N854" s="54"/>
    </row>
    <row r="855" spans="14:14" ht="12.75">
      <c r="N855" s="54"/>
    </row>
    <row r="856" spans="14:14" ht="12.75">
      <c r="N856" s="54"/>
    </row>
    <row r="857" spans="14:14" ht="12.75">
      <c r="N857" s="54"/>
    </row>
    <row r="858" spans="14:14" ht="12.75">
      <c r="N858" s="54"/>
    </row>
    <row r="859" spans="14:14" ht="12.75">
      <c r="N859" s="54"/>
    </row>
    <row r="860" spans="14:14" ht="12.75">
      <c r="N860" s="54"/>
    </row>
    <row r="861" spans="14:14" ht="12.75">
      <c r="N861" s="54"/>
    </row>
    <row r="862" spans="14:14" ht="12.75">
      <c r="N862" s="54"/>
    </row>
    <row r="863" spans="14:14" ht="12.75">
      <c r="N863" s="54"/>
    </row>
    <row r="864" spans="14:14" ht="12.75">
      <c r="N864" s="54"/>
    </row>
    <row r="865" spans="14:14" ht="12.75">
      <c r="N865" s="54"/>
    </row>
    <row r="866" spans="14:14" ht="12.75">
      <c r="N866" s="54"/>
    </row>
    <row r="867" spans="14:14" ht="12.75">
      <c r="N867" s="54"/>
    </row>
    <row r="868" spans="14:14" ht="12.75">
      <c r="N868" s="54"/>
    </row>
    <row r="869" spans="14:14" ht="12.75">
      <c r="N869" s="54"/>
    </row>
    <row r="870" spans="14:14" ht="12.75">
      <c r="N870" s="54"/>
    </row>
    <row r="871" spans="14:14" ht="12.75">
      <c r="N871" s="54"/>
    </row>
    <row r="872" spans="14:14" ht="12.75">
      <c r="N872" s="54"/>
    </row>
    <row r="873" spans="14:14" ht="12.75">
      <c r="N873" s="54"/>
    </row>
    <row r="874" spans="14:14" ht="12.75">
      <c r="N874" s="54"/>
    </row>
    <row r="875" spans="14:14" ht="12.75">
      <c r="N875" s="54"/>
    </row>
    <row r="876" spans="14:14" ht="12.75">
      <c r="N876" s="54"/>
    </row>
    <row r="877" spans="14:14" ht="12.75">
      <c r="N877" s="54"/>
    </row>
    <row r="878" spans="14:14" ht="12.75">
      <c r="N878" s="54"/>
    </row>
    <row r="879" spans="14:14" ht="12.75">
      <c r="N879" s="54"/>
    </row>
    <row r="880" spans="14:14" ht="12.75">
      <c r="N880" s="54"/>
    </row>
    <row r="881" spans="14:14" ht="12.75">
      <c r="N881" s="54"/>
    </row>
    <row r="882" spans="14:14" ht="12.75">
      <c r="N882" s="54"/>
    </row>
    <row r="883" spans="14:14" ht="12.75">
      <c r="N883" s="54"/>
    </row>
    <row r="884" spans="14:14" ht="12.75">
      <c r="N884" s="54"/>
    </row>
    <row r="885" spans="14:14" ht="12.75">
      <c r="N885" s="54"/>
    </row>
    <row r="886" spans="14:14" ht="12.75">
      <c r="N886" s="54"/>
    </row>
    <row r="887" spans="14:14" ht="12.75">
      <c r="N887" s="54"/>
    </row>
    <row r="888" spans="14:14" ht="12.75">
      <c r="N888" s="54"/>
    </row>
    <row r="889" spans="14:14" ht="12.75">
      <c r="N889" s="54"/>
    </row>
    <row r="890" spans="14:14" ht="12.75">
      <c r="N890" s="54"/>
    </row>
    <row r="891" spans="14:14" ht="12.75">
      <c r="N891" s="54"/>
    </row>
    <row r="892" spans="14:14" ht="12.75">
      <c r="N892" s="54"/>
    </row>
    <row r="893" spans="14:14" ht="12.75">
      <c r="N893" s="54"/>
    </row>
    <row r="894" spans="14:14" ht="12.75">
      <c r="N894" s="54"/>
    </row>
    <row r="895" spans="14:14" ht="12.75">
      <c r="N895" s="54"/>
    </row>
    <row r="896" spans="14:14" ht="12.75">
      <c r="N896" s="54"/>
    </row>
    <row r="897" spans="14:14" ht="12.75">
      <c r="N897" s="54"/>
    </row>
    <row r="898" spans="14:14" ht="12.75">
      <c r="N898" s="54"/>
    </row>
    <row r="899" spans="14:14" ht="12.75">
      <c r="N899" s="54"/>
    </row>
    <row r="900" spans="14:14" ht="12.75">
      <c r="N900" s="54"/>
    </row>
    <row r="901" spans="14:14" ht="12.75">
      <c r="N901" s="54"/>
    </row>
    <row r="902" spans="14:14" ht="12.75">
      <c r="N902" s="54"/>
    </row>
    <row r="903" spans="14:14" ht="12.75">
      <c r="N903" s="54"/>
    </row>
    <row r="904" spans="14:14" ht="12.75">
      <c r="N904" s="54"/>
    </row>
    <row r="905" spans="14:14" ht="12.75">
      <c r="N905" s="54"/>
    </row>
    <row r="906" spans="14:14" ht="12.75">
      <c r="N906" s="54"/>
    </row>
    <row r="907" spans="14:14" ht="12.75">
      <c r="N907" s="54"/>
    </row>
    <row r="908" spans="14:14" ht="12.75">
      <c r="N908" s="54"/>
    </row>
    <row r="909" spans="14:14" ht="12.75">
      <c r="N909" s="54"/>
    </row>
    <row r="910" spans="14:14" ht="12.75">
      <c r="N910" s="54"/>
    </row>
    <row r="911" spans="14:14" ht="12.75">
      <c r="N911" s="54"/>
    </row>
    <row r="912" spans="14:14" ht="12.75">
      <c r="N912" s="54"/>
    </row>
    <row r="913" spans="14:14" ht="12.75">
      <c r="N913" s="54"/>
    </row>
    <row r="914" spans="14:14" ht="12.75">
      <c r="N914" s="54"/>
    </row>
    <row r="915" spans="14:14" ht="12.75">
      <c r="N915" s="54"/>
    </row>
    <row r="916" spans="14:14" ht="12.75">
      <c r="N916" s="54"/>
    </row>
    <row r="917" spans="14:14" ht="12.75">
      <c r="N917" s="54"/>
    </row>
    <row r="918" spans="14:14" ht="12.75">
      <c r="N918" s="54"/>
    </row>
    <row r="919" spans="14:14" ht="12.75">
      <c r="N919" s="54"/>
    </row>
    <row r="920" spans="14:14" ht="12.75">
      <c r="N920" s="54"/>
    </row>
    <row r="921" spans="14:14" ht="12.75">
      <c r="N921" s="54"/>
    </row>
    <row r="922" spans="14:14" ht="12.75">
      <c r="N922" s="54"/>
    </row>
    <row r="923" spans="14:14" ht="12.75">
      <c r="N923" s="54"/>
    </row>
    <row r="924" spans="14:14" ht="12.75">
      <c r="N924" s="54"/>
    </row>
    <row r="925" spans="14:14" ht="12.75">
      <c r="N925" s="54"/>
    </row>
    <row r="926" spans="14:14" ht="12.75">
      <c r="N926" s="54"/>
    </row>
    <row r="927" spans="14:14" ht="12.75">
      <c r="N927" s="54"/>
    </row>
    <row r="928" spans="14:14" ht="12.75">
      <c r="N928" s="54"/>
    </row>
    <row r="929" spans="14:14" ht="12.75">
      <c r="N929" s="54"/>
    </row>
    <row r="930" spans="14:14" ht="12.75">
      <c r="N930" s="54"/>
    </row>
    <row r="931" spans="14:14" ht="12.75">
      <c r="N931" s="54"/>
    </row>
    <row r="932" spans="14:14" ht="12.75">
      <c r="N932" s="54"/>
    </row>
    <row r="933" spans="14:14" ht="12.75">
      <c r="N933" s="54"/>
    </row>
    <row r="934" spans="14:14" ht="12.75">
      <c r="N934" s="54"/>
    </row>
    <row r="935" spans="14:14" ht="12.75">
      <c r="N935" s="54"/>
    </row>
    <row r="936" spans="14:14" ht="12.75">
      <c r="N936" s="54"/>
    </row>
    <row r="937" spans="14:14" ht="12.75">
      <c r="N937" s="54"/>
    </row>
    <row r="938" spans="14:14" ht="12.75">
      <c r="N938" s="54"/>
    </row>
    <row r="939" spans="14:14" ht="12.75">
      <c r="N939" s="54"/>
    </row>
    <row r="940" spans="14:14" ht="12.75">
      <c r="N940" s="54"/>
    </row>
    <row r="941" spans="14:14" ht="12.75">
      <c r="N941" s="54"/>
    </row>
    <row r="942" spans="14:14" ht="12.75">
      <c r="N942" s="54"/>
    </row>
    <row r="943" spans="14:14" ht="12.75">
      <c r="N943" s="54"/>
    </row>
    <row r="944" spans="14:14" ht="12.75">
      <c r="N944" s="54"/>
    </row>
    <row r="945" spans="14:14" ht="12.75">
      <c r="N945" s="54"/>
    </row>
    <row r="946" spans="14:14" ht="12.75">
      <c r="N946" s="54"/>
    </row>
    <row r="947" spans="14:14" ht="12.75">
      <c r="N947" s="54"/>
    </row>
    <row r="948" spans="14:14" ht="12.75">
      <c r="N948" s="54"/>
    </row>
    <row r="949" spans="14:14" ht="12.75">
      <c r="N949" s="54"/>
    </row>
    <row r="950" spans="14:14" ht="12.75">
      <c r="N950" s="54"/>
    </row>
    <row r="951" spans="14:14" ht="12.75">
      <c r="N951" s="54"/>
    </row>
    <row r="952" spans="14:14" ht="12.75">
      <c r="N952" s="54"/>
    </row>
    <row r="953" spans="14:14" ht="12.75">
      <c r="N953" s="54"/>
    </row>
    <row r="954" spans="14:14" ht="12.75">
      <c r="N954" s="54"/>
    </row>
    <row r="955" spans="14:14" ht="12.75">
      <c r="N955" s="54"/>
    </row>
    <row r="956" spans="14:14" ht="12.75">
      <c r="N956" s="54"/>
    </row>
    <row r="957" spans="14:14" ht="12.75">
      <c r="N957" s="54"/>
    </row>
    <row r="958" spans="14:14" ht="12.75">
      <c r="N958" s="54"/>
    </row>
    <row r="959" spans="14:14" ht="12.75">
      <c r="N959" s="54"/>
    </row>
    <row r="960" spans="14:14" ht="12.75">
      <c r="N960" s="54"/>
    </row>
    <row r="961" spans="14:14" ht="12.75">
      <c r="N961" s="54"/>
    </row>
    <row r="962" spans="14:14" ht="12.75">
      <c r="N962" s="54"/>
    </row>
    <row r="963" spans="14:14" ht="12.75">
      <c r="N963" s="54"/>
    </row>
    <row r="964" spans="14:14" ht="12.75">
      <c r="N964" s="54"/>
    </row>
    <row r="965" spans="14:14" ht="12.75">
      <c r="N965" s="54"/>
    </row>
    <row r="966" spans="14:14" ht="12.75">
      <c r="N966" s="54"/>
    </row>
    <row r="967" spans="14:14" ht="12.75">
      <c r="N967" s="54"/>
    </row>
    <row r="968" spans="14:14" ht="12.75">
      <c r="N968" s="54"/>
    </row>
    <row r="969" spans="14:14" ht="12.75">
      <c r="N969" s="54"/>
    </row>
    <row r="970" spans="14:14" ht="12.75">
      <c r="N970" s="54"/>
    </row>
    <row r="971" spans="14:14" ht="12.75">
      <c r="N971" s="54"/>
    </row>
    <row r="972" spans="14:14" ht="12.75">
      <c r="N972" s="54"/>
    </row>
    <row r="973" spans="14:14" ht="12.75">
      <c r="N973" s="54"/>
    </row>
    <row r="974" spans="14:14" ht="12.75">
      <c r="N974" s="54"/>
    </row>
    <row r="975" spans="14:14" ht="12.75">
      <c r="N975" s="54"/>
    </row>
    <row r="976" spans="14:14" ht="12.75">
      <c r="N976" s="54"/>
    </row>
    <row r="977" spans="14:14" ht="12.75">
      <c r="N977" s="54"/>
    </row>
    <row r="978" spans="14:14" ht="12.75">
      <c r="N978" s="54"/>
    </row>
    <row r="979" spans="14:14" ht="12.75">
      <c r="N979" s="54"/>
    </row>
    <row r="980" spans="14:14" ht="12.75">
      <c r="N980" s="54"/>
    </row>
    <row r="981" spans="14:14" ht="12.75">
      <c r="N981" s="54"/>
    </row>
    <row r="982" spans="14:14" ht="12.75">
      <c r="N982" s="54"/>
    </row>
    <row r="983" spans="14:14" ht="12.75">
      <c r="N983" s="54"/>
    </row>
    <row r="984" spans="14:14" ht="12.75">
      <c r="N984" s="54"/>
    </row>
    <row r="985" spans="14:14" ht="12.75">
      <c r="N985" s="54"/>
    </row>
    <row r="986" spans="14:14" ht="12.75">
      <c r="N986" s="54"/>
    </row>
    <row r="987" spans="14:14" ht="12.75">
      <c r="N987" s="54"/>
    </row>
    <row r="988" spans="14:14" ht="12.75">
      <c r="N988" s="54"/>
    </row>
    <row r="989" spans="14:14" ht="12.75">
      <c r="N989" s="54"/>
    </row>
    <row r="990" spans="14:14" ht="12.75">
      <c r="N990" s="54"/>
    </row>
    <row r="991" spans="14:14" ht="12.75">
      <c r="N991" s="54"/>
    </row>
    <row r="992" spans="14:14" ht="12.75">
      <c r="N992" s="54"/>
    </row>
    <row r="993" spans="14:14" ht="12.75">
      <c r="N993" s="54"/>
    </row>
    <row r="994" spans="14:14" ht="12.75">
      <c r="N994" s="54"/>
    </row>
    <row r="995" spans="14:14" ht="12.75">
      <c r="N995" s="54"/>
    </row>
    <row r="996" spans="14:14" ht="12.75">
      <c r="N996" s="54"/>
    </row>
    <row r="997" spans="14:14" ht="12.75">
      <c r="N997" s="54"/>
    </row>
    <row r="998" spans="14:14" ht="12.75">
      <c r="N998" s="54"/>
    </row>
    <row r="999" spans="14:14" ht="12.75">
      <c r="N999" s="54"/>
    </row>
    <row r="1000" spans="14:14" ht="12.75">
      <c r="N1000" s="54"/>
    </row>
    <row r="1001" spans="14:14" ht="12.75">
      <c r="N1001" s="54"/>
    </row>
    <row r="1002" spans="14:14" ht="12.75">
      <c r="N1002" s="54"/>
    </row>
    <row r="1003" spans="14:14" ht="12.75">
      <c r="N1003" s="54"/>
    </row>
    <row r="1004" spans="14:14" ht="12.75">
      <c r="N1004" s="54"/>
    </row>
    <row r="1005" spans="14:14" ht="12.75">
      <c r="N1005" s="54"/>
    </row>
    <row r="1006" spans="14:14" ht="12.75">
      <c r="N1006" s="54"/>
    </row>
    <row r="1007" spans="14:14" ht="12.75">
      <c r="N1007" s="54"/>
    </row>
    <row r="1008" spans="14:14" ht="12.75">
      <c r="N1008" s="54"/>
    </row>
    <row r="1009" spans="14:14" ht="12.75">
      <c r="N1009" s="54"/>
    </row>
    <row r="1010" spans="14:14" ht="12.75">
      <c r="N1010" s="54"/>
    </row>
    <row r="1011" spans="14:14" ht="12.75">
      <c r="N1011" s="54"/>
    </row>
    <row r="1012" spans="14:14" ht="12.75">
      <c r="N1012" s="54"/>
    </row>
    <row r="1013" spans="14:14" ht="12.75">
      <c r="N1013" s="54"/>
    </row>
    <row r="1014" spans="14:14" ht="12.75">
      <c r="N1014" s="54"/>
    </row>
    <row r="1015" spans="14:14" ht="12.75">
      <c r="N1015" s="54"/>
    </row>
    <row r="1016" spans="14:14" ht="12.75">
      <c r="N1016" s="54"/>
    </row>
    <row r="1017" spans="14:14" ht="12.75">
      <c r="N1017" s="54"/>
    </row>
    <row r="1018" spans="14:14" ht="12.75">
      <c r="N1018" s="54"/>
    </row>
    <row r="1019" spans="14:14" ht="12.75">
      <c r="N1019" s="54"/>
    </row>
    <row r="1020" spans="14:14" ht="12.75">
      <c r="N1020" s="54"/>
    </row>
    <row r="1021" spans="14:14" ht="12.75">
      <c r="N1021" s="54"/>
    </row>
    <row r="1022" spans="14:14" ht="12.75">
      <c r="N1022" s="54"/>
    </row>
    <row r="1023" spans="14:14" ht="12.75">
      <c r="N1023" s="54"/>
    </row>
    <row r="1024" spans="14:14" ht="12.75">
      <c r="N1024" s="54"/>
    </row>
    <row r="1025" spans="14:14" ht="12.75">
      <c r="N1025" s="54"/>
    </row>
    <row r="1026" spans="14:14" ht="12.75">
      <c r="N1026" s="54"/>
    </row>
    <row r="1027" spans="14:14" ht="12.75">
      <c r="N1027" s="54"/>
    </row>
    <row r="1028" spans="14:14" ht="12.75">
      <c r="N1028" s="54"/>
    </row>
    <row r="1029" spans="14:14" ht="12.75">
      <c r="N1029" s="54"/>
    </row>
    <row r="1030" spans="14:14" ht="12.75">
      <c r="N1030" s="54"/>
    </row>
    <row r="1031" spans="14:14" ht="12.75">
      <c r="N1031" s="54"/>
    </row>
    <row r="1032" spans="14:14" ht="12.75">
      <c r="N1032" s="54"/>
    </row>
    <row r="1033" spans="14:14" ht="12.75">
      <c r="N1033" s="54"/>
    </row>
    <row r="1034" spans="14:14" ht="12.75">
      <c r="N1034" s="54"/>
    </row>
    <row r="1035" spans="14:14" ht="12.75">
      <c r="N1035" s="54"/>
    </row>
    <row r="1036" spans="14:14" ht="12.75">
      <c r="N1036" s="54"/>
    </row>
    <row r="1037" spans="14:14" ht="12.75">
      <c r="N1037" s="54"/>
    </row>
    <row r="1038" spans="14:14" ht="12.75">
      <c r="N1038" s="54"/>
    </row>
    <row r="1039" spans="14:14" ht="12.75">
      <c r="N1039" s="54"/>
    </row>
    <row r="1040" spans="14:14" ht="12.75">
      <c r="N1040" s="54"/>
    </row>
    <row r="1041" spans="14:14" ht="12.75">
      <c r="N1041" s="54"/>
    </row>
    <row r="1042" spans="14:14" ht="12.75">
      <c r="N1042" s="54"/>
    </row>
    <row r="1043" spans="14:14" ht="12.75">
      <c r="N1043" s="54"/>
    </row>
    <row r="1044" spans="14:14" ht="12.75">
      <c r="N1044" s="54"/>
    </row>
    <row r="1045" spans="14:14" ht="12.75">
      <c r="N1045" s="54"/>
    </row>
    <row r="1046" spans="14:14" ht="12.75">
      <c r="N1046" s="54"/>
    </row>
    <row r="1047" spans="14:14" ht="12.75">
      <c r="N1047" s="54"/>
    </row>
    <row r="1048" spans="14:14" ht="12.75">
      <c r="N1048" s="54"/>
    </row>
    <row r="1049" spans="14:14" ht="12.75">
      <c r="N1049" s="54"/>
    </row>
    <row r="1050" spans="14:14" ht="12.75">
      <c r="N1050" s="54"/>
    </row>
    <row r="1051" spans="14:14" ht="12.75">
      <c r="N1051" s="54"/>
    </row>
    <row r="1052" spans="14:14" ht="12.75">
      <c r="N1052" s="54"/>
    </row>
    <row r="1053" spans="14:14" ht="12.75">
      <c r="N1053" s="54"/>
    </row>
    <row r="1054" spans="14:14" ht="12.75">
      <c r="N1054" s="54"/>
    </row>
    <row r="1055" spans="14:14" ht="12.75">
      <c r="N1055" s="54"/>
    </row>
    <row r="1056" spans="14:14" ht="12.75">
      <c r="N1056" s="54"/>
    </row>
    <row r="1057" spans="14:14" ht="12.75">
      <c r="N1057" s="54"/>
    </row>
    <row r="1058" spans="14:14" ht="12.75">
      <c r="N1058" s="54"/>
    </row>
    <row r="1059" spans="14:14" ht="12.75">
      <c r="N1059" s="54"/>
    </row>
    <row r="1060" spans="14:14" ht="12.75">
      <c r="N1060" s="54"/>
    </row>
    <row r="1061" spans="14:14" ht="12.75">
      <c r="N1061" s="54"/>
    </row>
    <row r="1062" spans="14:14" ht="12.75">
      <c r="N1062" s="54"/>
    </row>
    <row r="1063" spans="14:14" ht="12.75">
      <c r="N1063" s="54"/>
    </row>
    <row r="1064" spans="14:14" ht="12.75">
      <c r="N1064" s="54"/>
    </row>
    <row r="1065" spans="14:14" ht="12.75">
      <c r="N1065" s="54"/>
    </row>
  </sheetData>
  <mergeCells count="3">
    <mergeCell ref="B2:E2"/>
    <mergeCell ref="B3:E3"/>
    <mergeCell ref="B4:E4"/>
  </mergeCells>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P1050"/>
  <sheetViews>
    <sheetView zoomScaleNormal="100" workbookViewId="0">
      <selection activeCell="D15" sqref="D15"/>
    </sheetView>
  </sheetViews>
  <sheetFormatPr defaultColWidth="12.5703125" defaultRowHeight="15.75" customHeight="1"/>
  <cols>
    <col min="2" max="2" width="23.7109375" customWidth="1"/>
    <col min="3" max="3" width="30.42578125" customWidth="1"/>
    <col min="4" max="4" width="29.5703125" customWidth="1"/>
    <col min="5" max="5" width="14" customWidth="1"/>
    <col min="8" max="8" width="14.5703125" customWidth="1"/>
  </cols>
  <sheetData>
    <row r="1" spans="1:16" ht="14.25" customHeight="1">
      <c r="A1" s="10"/>
      <c r="B1" s="10"/>
      <c r="C1" s="10"/>
      <c r="D1" s="10"/>
      <c r="E1" s="10"/>
      <c r="F1" s="10"/>
      <c r="G1" s="10"/>
      <c r="H1" s="10"/>
      <c r="I1" s="10"/>
      <c r="J1" s="10"/>
      <c r="K1" s="10"/>
      <c r="L1" s="10"/>
      <c r="M1" s="10"/>
      <c r="N1" s="10"/>
      <c r="O1" s="10"/>
    </row>
    <row r="2" spans="1:16" ht="24" customHeight="1">
      <c r="A2" s="120" t="s">
        <v>46</v>
      </c>
      <c r="B2" s="160" t="s">
        <v>91</v>
      </c>
      <c r="C2" s="161"/>
      <c r="D2" s="161"/>
      <c r="E2" s="161"/>
      <c r="F2" s="10"/>
      <c r="G2" s="10"/>
      <c r="H2" s="10"/>
      <c r="I2" s="10"/>
      <c r="J2" s="10"/>
      <c r="K2" s="10"/>
      <c r="L2" s="10"/>
      <c r="M2" s="10"/>
      <c r="N2" s="10"/>
      <c r="O2" s="10"/>
    </row>
    <row r="3" spans="1:16" ht="14.25" customHeight="1">
      <c r="A3" s="120" t="s">
        <v>47</v>
      </c>
      <c r="B3" s="160"/>
      <c r="C3" s="161"/>
      <c r="D3" s="161"/>
      <c r="E3" s="161"/>
      <c r="F3" s="10"/>
      <c r="G3" s="10"/>
      <c r="H3" s="10"/>
      <c r="I3" s="10"/>
      <c r="J3" s="10"/>
      <c r="K3" s="10"/>
      <c r="L3" s="10"/>
      <c r="M3" s="10"/>
      <c r="N3" s="10"/>
      <c r="O3" s="10"/>
    </row>
    <row r="4" spans="1:16" ht="14.25" customHeight="1">
      <c r="A4" s="120" t="s">
        <v>48</v>
      </c>
      <c r="B4" s="160">
        <v>58</v>
      </c>
      <c r="C4" s="161"/>
      <c r="D4" s="161"/>
      <c r="E4" s="161"/>
      <c r="F4" s="10"/>
      <c r="G4" s="10"/>
      <c r="H4" s="10"/>
      <c r="I4" s="10"/>
      <c r="J4" s="10"/>
      <c r="K4" s="10"/>
      <c r="L4" s="10"/>
      <c r="M4" s="10"/>
      <c r="N4" s="10"/>
      <c r="O4" s="10"/>
    </row>
    <row r="5" spans="1:16" ht="14.25" customHeight="1">
      <c r="A5" s="122" t="s">
        <v>49</v>
      </c>
      <c r="B5" s="122" t="s">
        <v>36</v>
      </c>
      <c r="C5" s="122" t="s">
        <v>37</v>
      </c>
      <c r="D5" s="122" t="s">
        <v>38</v>
      </c>
      <c r="E5" s="122" t="s">
        <v>39</v>
      </c>
      <c r="F5" s="13"/>
      <c r="G5" s="10"/>
      <c r="H5" s="10"/>
      <c r="I5" s="10"/>
      <c r="J5" s="10"/>
      <c r="K5" s="10"/>
      <c r="L5" s="10"/>
      <c r="M5" s="10"/>
      <c r="N5" s="10"/>
      <c r="O5" s="10"/>
    </row>
    <row r="6" spans="1:16" ht="14.25" customHeight="1">
      <c r="A6" s="122" t="s">
        <v>50</v>
      </c>
      <c r="B6" s="139">
        <f>COUNTIF(F11:F100,"Passed")</f>
        <v>0</v>
      </c>
      <c r="C6" s="139">
        <f>COUNTIF(F11:F100,"Failed")</f>
        <v>0</v>
      </c>
      <c r="D6" s="139">
        <f>COUNTIF(F11:F100,"Pending")</f>
        <v>0</v>
      </c>
      <c r="E6" s="139">
        <f t="shared" ref="E6:E8" si="0">COUNTIF(F11:F100,"N/A")</f>
        <v>0</v>
      </c>
      <c r="F6" s="13"/>
      <c r="G6" s="10"/>
      <c r="H6" s="10"/>
      <c r="I6" s="10"/>
      <c r="J6" s="10"/>
      <c r="K6" s="10"/>
      <c r="L6" s="10"/>
      <c r="M6" s="10"/>
      <c r="N6" s="10"/>
      <c r="O6" s="10"/>
    </row>
    <row r="7" spans="1:16" ht="14.25" customHeight="1">
      <c r="A7" s="122" t="s">
        <v>51</v>
      </c>
      <c r="B7" s="139">
        <f>COUNTIF(I12:I101,"Passed")</f>
        <v>0</v>
      </c>
      <c r="C7" s="139">
        <f>COUNTIF(I12:I101,"Failed")</f>
        <v>0</v>
      </c>
      <c r="D7" s="139">
        <f>COUNTIF(I12:I101,"Pending")</f>
        <v>0</v>
      </c>
      <c r="E7" s="139">
        <f t="shared" si="0"/>
        <v>0</v>
      </c>
      <c r="F7" s="13"/>
      <c r="G7" s="10"/>
      <c r="H7" s="10"/>
      <c r="I7" s="10"/>
      <c r="J7" s="10"/>
      <c r="K7" s="10"/>
      <c r="L7" s="10"/>
      <c r="M7" s="10"/>
      <c r="N7" s="10"/>
      <c r="O7" s="10"/>
    </row>
    <row r="8" spans="1:16" ht="14.25" customHeight="1">
      <c r="A8" s="122" t="s">
        <v>52</v>
      </c>
      <c r="B8" s="139">
        <f>COUNTIF(L12:L101,"Passed")</f>
        <v>0</v>
      </c>
      <c r="C8" s="139">
        <f>COUNTIF(M12:M101,"Failed")</f>
        <v>0</v>
      </c>
      <c r="D8" s="139">
        <f>COUNTIF(L13:L102,"Pending")</f>
        <v>0</v>
      </c>
      <c r="E8" s="139">
        <f t="shared" si="0"/>
        <v>0</v>
      </c>
      <c r="F8" s="13"/>
      <c r="G8" s="10"/>
      <c r="H8" s="10"/>
      <c r="I8" s="10"/>
      <c r="J8" s="10"/>
      <c r="K8" s="10"/>
      <c r="L8" s="10"/>
      <c r="M8" s="10"/>
      <c r="N8" s="10"/>
      <c r="O8" s="10"/>
    </row>
    <row r="9" spans="1:16" ht="39.75" customHeight="1">
      <c r="A9" s="10"/>
      <c r="B9" s="15"/>
      <c r="C9" s="15"/>
      <c r="D9" s="10"/>
      <c r="E9" s="15"/>
      <c r="F9" s="10"/>
      <c r="G9" s="10"/>
      <c r="H9" s="10"/>
      <c r="I9" s="10"/>
      <c r="J9" s="10"/>
      <c r="K9" s="10"/>
      <c r="L9" s="10"/>
      <c r="M9" s="10"/>
      <c r="N9" s="10"/>
      <c r="O9" s="10"/>
    </row>
    <row r="10" spans="1:16" ht="33.75" customHeight="1">
      <c r="A10" s="55" t="s">
        <v>53</v>
      </c>
      <c r="B10" s="55" t="s">
        <v>54</v>
      </c>
      <c r="C10" s="55" t="s">
        <v>55</v>
      </c>
      <c r="D10" s="55" t="s">
        <v>56</v>
      </c>
      <c r="E10" s="55" t="s">
        <v>57</v>
      </c>
      <c r="F10" s="55" t="s">
        <v>50</v>
      </c>
      <c r="G10" s="55" t="s">
        <v>58</v>
      </c>
      <c r="H10" s="55" t="s">
        <v>59</v>
      </c>
      <c r="I10" s="55" t="s">
        <v>51</v>
      </c>
      <c r="J10" s="55" t="s">
        <v>58</v>
      </c>
      <c r="K10" s="55" t="s">
        <v>59</v>
      </c>
      <c r="L10" s="55" t="s">
        <v>52</v>
      </c>
      <c r="M10" s="55" t="s">
        <v>58</v>
      </c>
      <c r="N10" s="55" t="s">
        <v>59</v>
      </c>
      <c r="O10" s="55" t="s">
        <v>60</v>
      </c>
    </row>
    <row r="11" spans="1:16" ht="14.25">
      <c r="A11" s="125"/>
      <c r="B11" s="126"/>
      <c r="C11" s="127"/>
      <c r="D11" s="127"/>
      <c r="E11" s="127"/>
      <c r="F11" s="128"/>
      <c r="G11" s="128"/>
      <c r="H11" s="128"/>
      <c r="I11" s="128"/>
      <c r="J11" s="128"/>
      <c r="K11" s="128"/>
      <c r="L11" s="128"/>
      <c r="M11" s="128"/>
      <c r="N11" s="128"/>
      <c r="O11" s="128"/>
      <c r="P11" s="10"/>
    </row>
    <row r="12" spans="1:16" ht="79.5" customHeight="1">
      <c r="A12" s="121"/>
      <c r="B12" s="121"/>
      <c r="C12" s="129"/>
      <c r="D12" s="121"/>
      <c r="E12" s="121"/>
      <c r="F12" s="121"/>
      <c r="G12" s="130"/>
      <c r="H12" s="121"/>
      <c r="I12" s="121"/>
      <c r="J12" s="130"/>
      <c r="K12" s="121"/>
      <c r="L12" s="121"/>
      <c r="M12" s="130"/>
      <c r="N12" s="121"/>
      <c r="O12" s="130"/>
    </row>
    <row r="13" spans="1:16" ht="79.5" customHeight="1">
      <c r="A13" s="121"/>
      <c r="B13" s="121"/>
      <c r="C13" s="129"/>
      <c r="D13" s="121"/>
      <c r="E13" s="121"/>
      <c r="F13" s="121"/>
      <c r="G13" s="130"/>
      <c r="H13" s="121"/>
      <c r="I13" s="121"/>
      <c r="J13" s="130"/>
      <c r="K13" s="121"/>
      <c r="L13" s="121"/>
      <c r="M13" s="130"/>
      <c r="N13" s="121"/>
      <c r="O13" s="130"/>
    </row>
    <row r="14" spans="1:16" ht="67.5" customHeight="1">
      <c r="A14" s="121"/>
      <c r="B14" s="121"/>
      <c r="C14" s="129"/>
      <c r="D14" s="121"/>
      <c r="E14" s="121"/>
      <c r="F14" s="121"/>
      <c r="G14" s="130"/>
      <c r="H14" s="121"/>
      <c r="I14" s="121"/>
      <c r="J14" s="130"/>
      <c r="K14" s="121"/>
      <c r="L14" s="121"/>
      <c r="M14" s="130"/>
      <c r="N14" s="121"/>
      <c r="O14" s="130"/>
    </row>
    <row r="15" spans="1:16" ht="66.75" customHeight="1">
      <c r="A15" s="121"/>
      <c r="B15" s="121"/>
      <c r="C15" s="129"/>
      <c r="D15" s="121"/>
      <c r="E15" s="121"/>
      <c r="F15" s="121"/>
      <c r="G15" s="130"/>
      <c r="H15" s="121"/>
      <c r="I15" s="121"/>
      <c r="J15" s="130"/>
      <c r="K15" s="121"/>
      <c r="L15" s="121"/>
      <c r="M15" s="130"/>
      <c r="N15" s="121"/>
      <c r="O15" s="130"/>
    </row>
    <row r="16" spans="1:16" ht="62.25" customHeight="1">
      <c r="A16" s="121"/>
      <c r="B16" s="121"/>
      <c r="C16" s="129"/>
      <c r="D16" s="121"/>
      <c r="E16" s="121"/>
      <c r="F16" s="121"/>
      <c r="G16" s="130"/>
      <c r="H16" s="121"/>
      <c r="I16" s="121"/>
      <c r="J16" s="130"/>
      <c r="K16" s="121"/>
      <c r="L16" s="121"/>
      <c r="M16" s="130"/>
      <c r="N16" s="121"/>
      <c r="O16" s="130"/>
    </row>
    <row r="17" spans="1:16" ht="52.5" customHeight="1">
      <c r="A17" s="121"/>
      <c r="B17" s="121"/>
      <c r="C17" s="129"/>
      <c r="D17" s="121"/>
      <c r="E17" s="121"/>
      <c r="F17" s="121"/>
      <c r="G17" s="130"/>
      <c r="H17" s="121"/>
      <c r="I17" s="121"/>
      <c r="J17" s="130"/>
      <c r="K17" s="121"/>
      <c r="L17" s="121"/>
      <c r="M17" s="130"/>
      <c r="N17" s="121"/>
      <c r="O17" s="121"/>
    </row>
    <row r="18" spans="1:16" ht="14.25">
      <c r="A18" s="125"/>
      <c r="B18" s="126"/>
      <c r="C18" s="127"/>
      <c r="D18" s="127"/>
      <c r="E18" s="127"/>
      <c r="F18" s="128"/>
      <c r="G18" s="128"/>
      <c r="H18" s="128"/>
      <c r="I18" s="128"/>
      <c r="J18" s="128"/>
      <c r="K18" s="128"/>
      <c r="L18" s="128"/>
      <c r="M18" s="128"/>
      <c r="N18" s="128"/>
      <c r="O18" s="128"/>
      <c r="P18" s="10"/>
    </row>
    <row r="19" spans="1:16" ht="57" customHeight="1">
      <c r="A19" s="121"/>
      <c r="B19" s="121"/>
      <c r="C19" s="121"/>
      <c r="D19" s="121"/>
      <c r="E19" s="121"/>
      <c r="F19" s="121"/>
      <c r="G19" s="130"/>
      <c r="H19" s="121"/>
      <c r="I19" s="121"/>
      <c r="J19" s="130"/>
      <c r="K19" s="121"/>
      <c r="L19" s="121"/>
      <c r="M19" s="130"/>
      <c r="N19" s="121"/>
      <c r="O19" s="121"/>
    </row>
    <row r="20" spans="1:16" ht="57" customHeight="1">
      <c r="A20" s="121"/>
      <c r="B20" s="121"/>
      <c r="C20" s="121"/>
      <c r="D20" s="121"/>
      <c r="E20" s="121"/>
      <c r="F20" s="121"/>
      <c r="G20" s="130"/>
      <c r="H20" s="121"/>
      <c r="I20" s="121"/>
      <c r="J20" s="130"/>
      <c r="K20" s="121"/>
      <c r="L20" s="121"/>
      <c r="M20" s="130"/>
      <c r="N20" s="121"/>
      <c r="O20" s="121"/>
    </row>
    <row r="21" spans="1:16" ht="57" customHeight="1">
      <c r="A21" s="121"/>
      <c r="B21" s="121"/>
      <c r="C21" s="121"/>
      <c r="D21" s="121"/>
      <c r="E21" s="121"/>
      <c r="F21" s="121"/>
      <c r="G21" s="130"/>
      <c r="H21" s="121"/>
      <c r="I21" s="121"/>
      <c r="J21" s="130"/>
      <c r="K21" s="121"/>
      <c r="L21" s="121"/>
      <c r="M21" s="130"/>
      <c r="N21" s="121"/>
      <c r="O21" s="121"/>
    </row>
    <row r="22" spans="1:16" ht="57" customHeight="1">
      <c r="A22" s="121"/>
      <c r="B22" s="121"/>
      <c r="C22" s="121"/>
      <c r="D22" s="121"/>
      <c r="E22" s="121"/>
      <c r="F22" s="121"/>
      <c r="G22" s="130"/>
      <c r="H22" s="121"/>
      <c r="I22" s="121"/>
      <c r="J22" s="130"/>
      <c r="K22" s="121"/>
      <c r="L22" s="121"/>
      <c r="M22" s="130"/>
      <c r="N22" s="121"/>
      <c r="O22" s="121"/>
    </row>
    <row r="23" spans="1:16" ht="14.25">
      <c r="A23" s="125"/>
      <c r="B23" s="126"/>
      <c r="C23" s="127"/>
      <c r="D23" s="127"/>
      <c r="E23" s="127"/>
      <c r="F23" s="128"/>
      <c r="G23" s="128"/>
      <c r="H23" s="128"/>
      <c r="I23" s="128"/>
      <c r="J23" s="128"/>
      <c r="K23" s="128"/>
      <c r="L23" s="128"/>
      <c r="M23" s="128"/>
      <c r="N23" s="128"/>
      <c r="O23" s="128"/>
      <c r="P23" s="10"/>
    </row>
    <row r="24" spans="1:16" ht="61.5" customHeight="1">
      <c r="A24" s="121"/>
      <c r="B24" s="121"/>
      <c r="C24" s="121"/>
      <c r="D24" s="121"/>
      <c r="E24" s="121"/>
      <c r="F24" s="121"/>
      <c r="G24" s="130"/>
      <c r="H24" s="121"/>
      <c r="I24" s="121"/>
      <c r="J24" s="130"/>
      <c r="K24" s="121"/>
      <c r="L24" s="121"/>
      <c r="M24" s="130"/>
      <c r="N24" s="121"/>
      <c r="O24" s="121"/>
    </row>
    <row r="25" spans="1:16" ht="61.5" customHeight="1">
      <c r="A25" s="121"/>
      <c r="B25" s="121"/>
      <c r="C25" s="121"/>
      <c r="D25" s="121"/>
      <c r="E25" s="121"/>
      <c r="F25" s="121"/>
      <c r="G25" s="130"/>
      <c r="H25" s="121"/>
      <c r="I25" s="121"/>
      <c r="J25" s="130"/>
      <c r="K25" s="121"/>
      <c r="L25" s="121"/>
      <c r="M25" s="130"/>
      <c r="N25" s="121"/>
      <c r="O25" s="121"/>
    </row>
    <row r="26" spans="1:16" ht="61.5" customHeight="1">
      <c r="A26" s="121"/>
      <c r="B26" s="121"/>
      <c r="C26" s="121"/>
      <c r="D26" s="121"/>
      <c r="E26" s="121"/>
      <c r="F26" s="121"/>
      <c r="G26" s="130"/>
      <c r="H26" s="121"/>
      <c r="I26" s="121"/>
      <c r="J26" s="130"/>
      <c r="K26" s="121"/>
      <c r="L26" s="121"/>
      <c r="M26" s="130"/>
      <c r="N26" s="121"/>
      <c r="O26" s="121"/>
    </row>
    <row r="27" spans="1:16" ht="61.5" customHeight="1">
      <c r="A27" s="121"/>
      <c r="B27" s="121"/>
      <c r="C27" s="121"/>
      <c r="D27" s="121"/>
      <c r="E27" s="121"/>
      <c r="F27" s="121"/>
      <c r="G27" s="130"/>
      <c r="H27" s="121"/>
      <c r="I27" s="121"/>
      <c r="J27" s="130"/>
      <c r="K27" s="121"/>
      <c r="L27" s="121"/>
      <c r="M27" s="130"/>
      <c r="N27" s="121"/>
      <c r="O27" s="121"/>
    </row>
    <row r="28" spans="1:16" ht="14.25">
      <c r="A28" s="125"/>
      <c r="B28" s="126"/>
      <c r="C28" s="127"/>
      <c r="D28" s="127"/>
      <c r="E28" s="127"/>
      <c r="F28" s="128"/>
      <c r="G28" s="128"/>
      <c r="H28" s="128"/>
      <c r="I28" s="128"/>
      <c r="J28" s="128"/>
      <c r="K28" s="128"/>
      <c r="L28" s="128"/>
      <c r="M28" s="128"/>
      <c r="N28" s="128"/>
      <c r="O28" s="128"/>
      <c r="P28" s="10"/>
    </row>
    <row r="29" spans="1:16" ht="56.25" customHeight="1">
      <c r="A29" s="121"/>
      <c r="B29" s="121"/>
      <c r="C29" s="121"/>
      <c r="D29" s="121"/>
      <c r="E29" s="121"/>
      <c r="F29" s="121"/>
      <c r="G29" s="130"/>
      <c r="H29" s="121"/>
      <c r="I29" s="121"/>
      <c r="J29" s="130"/>
      <c r="K29" s="121"/>
      <c r="L29" s="121"/>
      <c r="M29" s="130"/>
      <c r="N29" s="121"/>
      <c r="O29" s="121"/>
    </row>
    <row r="30" spans="1:16" ht="56.25" customHeight="1">
      <c r="A30" s="121"/>
      <c r="B30" s="121"/>
      <c r="C30" s="121"/>
      <c r="D30" s="121"/>
      <c r="E30" s="121"/>
      <c r="F30" s="121"/>
      <c r="G30" s="130"/>
      <c r="H30" s="121"/>
      <c r="I30" s="121"/>
      <c r="J30" s="130"/>
      <c r="K30" s="121"/>
      <c r="L30" s="121"/>
      <c r="M30" s="130"/>
      <c r="N30" s="121"/>
      <c r="O30" s="121"/>
    </row>
    <row r="31" spans="1:16" ht="56.25" customHeight="1">
      <c r="A31" s="121"/>
      <c r="B31" s="121"/>
      <c r="C31" s="121"/>
      <c r="D31" s="121"/>
      <c r="E31" s="121"/>
      <c r="F31" s="121"/>
      <c r="G31" s="130"/>
      <c r="H31" s="121"/>
      <c r="I31" s="121"/>
      <c r="J31" s="130"/>
      <c r="K31" s="121"/>
      <c r="L31" s="121"/>
      <c r="M31" s="130"/>
      <c r="N31" s="121"/>
      <c r="O31" s="121"/>
    </row>
    <row r="32" spans="1:16" ht="14.25">
      <c r="A32" s="125"/>
      <c r="B32" s="126"/>
      <c r="C32" s="127"/>
      <c r="D32" s="127"/>
      <c r="E32" s="127"/>
      <c r="F32" s="128"/>
      <c r="G32" s="128"/>
      <c r="H32" s="128"/>
      <c r="I32" s="128"/>
      <c r="J32" s="128"/>
      <c r="K32" s="128"/>
      <c r="L32" s="128"/>
      <c r="M32" s="128"/>
      <c r="N32" s="128"/>
      <c r="O32" s="128"/>
      <c r="P32" s="10"/>
    </row>
    <row r="33" spans="1:16" ht="53.25" customHeight="1">
      <c r="A33" s="121"/>
      <c r="B33" s="121"/>
      <c r="C33" s="121"/>
      <c r="D33" s="121"/>
      <c r="E33" s="121"/>
      <c r="F33" s="121"/>
      <c r="G33" s="130"/>
      <c r="H33" s="121"/>
      <c r="I33" s="121"/>
      <c r="J33" s="130"/>
      <c r="K33" s="121"/>
      <c r="L33" s="121"/>
      <c r="M33" s="130"/>
      <c r="N33" s="121"/>
      <c r="O33" s="121"/>
    </row>
    <row r="34" spans="1:16" ht="53.25" customHeight="1">
      <c r="A34" s="121"/>
      <c r="B34" s="121"/>
      <c r="C34" s="121"/>
      <c r="D34" s="121"/>
      <c r="E34" s="121"/>
      <c r="F34" s="121"/>
      <c r="G34" s="130"/>
      <c r="H34" s="121"/>
      <c r="I34" s="121"/>
      <c r="J34" s="130"/>
      <c r="K34" s="121"/>
      <c r="L34" s="121"/>
      <c r="M34" s="130"/>
      <c r="N34" s="121"/>
      <c r="O34" s="121"/>
    </row>
    <row r="35" spans="1:16" ht="53.25" customHeight="1">
      <c r="A35" s="121"/>
      <c r="B35" s="121"/>
      <c r="C35" s="121"/>
      <c r="D35" s="121"/>
      <c r="E35" s="121"/>
      <c r="F35" s="121"/>
      <c r="G35" s="130"/>
      <c r="H35" s="121"/>
      <c r="I35" s="121"/>
      <c r="J35" s="130"/>
      <c r="K35" s="121"/>
      <c r="L35" s="121"/>
      <c r="M35" s="130"/>
      <c r="N35" s="121"/>
      <c r="O35" s="121"/>
    </row>
    <row r="36" spans="1:16" ht="14.25">
      <c r="A36" s="125"/>
      <c r="B36" s="126"/>
      <c r="C36" s="127"/>
      <c r="D36" s="127"/>
      <c r="E36" s="127"/>
      <c r="F36" s="128"/>
      <c r="G36" s="128"/>
      <c r="H36" s="128"/>
      <c r="I36" s="128"/>
      <c r="J36" s="128"/>
      <c r="K36" s="128"/>
      <c r="L36" s="128"/>
      <c r="M36" s="128"/>
      <c r="N36" s="128"/>
      <c r="O36" s="128"/>
      <c r="P36" s="10"/>
    </row>
    <row r="37" spans="1:16" ht="45.75" customHeight="1">
      <c r="A37" s="121"/>
      <c r="B37" s="121"/>
      <c r="C37" s="121"/>
      <c r="D37" s="121"/>
      <c r="E37" s="121"/>
      <c r="F37" s="121"/>
      <c r="G37" s="130"/>
      <c r="H37" s="121"/>
      <c r="I37" s="121"/>
      <c r="J37" s="130"/>
      <c r="K37" s="121"/>
      <c r="L37" s="121"/>
      <c r="M37" s="130"/>
      <c r="N37" s="121"/>
      <c r="O37" s="121"/>
    </row>
    <row r="38" spans="1:16" ht="33.75" customHeight="1">
      <c r="A38" s="121"/>
      <c r="B38" s="121"/>
      <c r="C38" s="121"/>
      <c r="D38" s="121"/>
      <c r="E38" s="121"/>
      <c r="F38" s="121"/>
      <c r="G38" s="130"/>
      <c r="H38" s="121"/>
      <c r="I38" s="121"/>
      <c r="J38" s="130"/>
      <c r="K38" s="121"/>
      <c r="L38" s="121"/>
      <c r="M38" s="130"/>
      <c r="N38" s="121"/>
      <c r="O38" s="121"/>
    </row>
    <row r="39" spans="1:16" ht="14.25">
      <c r="A39" s="125"/>
      <c r="B39" s="126"/>
      <c r="C39" s="127"/>
      <c r="D39" s="127"/>
      <c r="E39" s="127"/>
      <c r="F39" s="128"/>
      <c r="G39" s="128"/>
      <c r="H39" s="128"/>
      <c r="I39" s="128"/>
      <c r="J39" s="128"/>
      <c r="K39" s="128"/>
      <c r="L39" s="128"/>
      <c r="M39" s="128"/>
      <c r="N39" s="128"/>
      <c r="O39" s="128"/>
      <c r="P39" s="10"/>
    </row>
    <row r="40" spans="1:16" ht="53.25" customHeight="1">
      <c r="A40" s="121"/>
      <c r="B40" s="121"/>
      <c r="C40" s="121"/>
      <c r="D40" s="121"/>
      <c r="E40" s="121"/>
      <c r="F40" s="121"/>
      <c r="G40" s="130"/>
      <c r="H40" s="121"/>
      <c r="I40" s="121"/>
      <c r="J40" s="130"/>
      <c r="K40" s="121"/>
      <c r="L40" s="121"/>
      <c r="M40" s="130"/>
      <c r="N40" s="121"/>
      <c r="O40" s="121"/>
    </row>
    <row r="41" spans="1:16" ht="53.25" customHeight="1">
      <c r="A41" s="121"/>
      <c r="B41" s="121"/>
      <c r="C41" s="121"/>
      <c r="D41" s="121"/>
      <c r="E41" s="121"/>
      <c r="F41" s="121"/>
      <c r="G41" s="130"/>
      <c r="H41" s="121"/>
      <c r="I41" s="121"/>
      <c r="J41" s="130"/>
      <c r="K41" s="121"/>
      <c r="L41" s="121"/>
      <c r="M41" s="130"/>
      <c r="N41" s="121"/>
      <c r="O41" s="121"/>
    </row>
    <row r="42" spans="1:16" ht="53.25" customHeight="1">
      <c r="A42" s="121"/>
      <c r="B42" s="121"/>
      <c r="C42" s="121"/>
      <c r="D42" s="121"/>
      <c r="E42" s="121"/>
      <c r="F42" s="121"/>
      <c r="G42" s="130"/>
      <c r="H42" s="121"/>
      <c r="I42" s="121"/>
      <c r="J42" s="130"/>
      <c r="K42" s="121"/>
      <c r="L42" s="121"/>
      <c r="M42" s="130"/>
      <c r="N42" s="121"/>
      <c r="O42" s="121"/>
    </row>
    <row r="43" spans="1:16" ht="14.25">
      <c r="A43" s="125"/>
      <c r="B43" s="126"/>
      <c r="C43" s="127"/>
      <c r="D43" s="127"/>
      <c r="E43" s="127"/>
      <c r="F43" s="128"/>
      <c r="G43" s="128"/>
      <c r="H43" s="128"/>
      <c r="I43" s="128"/>
      <c r="J43" s="128"/>
      <c r="K43" s="128"/>
      <c r="L43" s="128"/>
      <c r="M43" s="128"/>
      <c r="N43" s="128"/>
      <c r="O43" s="128"/>
      <c r="P43" s="10"/>
    </row>
    <row r="44" spans="1:16" ht="54" customHeight="1">
      <c r="A44" s="121"/>
      <c r="B44" s="121"/>
      <c r="C44" s="121"/>
      <c r="D44" s="121"/>
      <c r="E44" s="121"/>
      <c r="F44" s="121"/>
      <c r="G44" s="130"/>
      <c r="H44" s="121"/>
      <c r="I44" s="121"/>
      <c r="J44" s="130"/>
      <c r="K44" s="121"/>
      <c r="L44" s="121"/>
      <c r="M44" s="130"/>
      <c r="N44" s="121"/>
      <c r="O44" s="121"/>
    </row>
    <row r="45" spans="1:16" ht="54" customHeight="1">
      <c r="A45" s="121"/>
      <c r="B45" s="121"/>
      <c r="C45" s="121"/>
      <c r="D45" s="121"/>
      <c r="E45" s="121"/>
      <c r="F45" s="121"/>
      <c r="G45" s="130"/>
      <c r="H45" s="121"/>
      <c r="I45" s="121"/>
      <c r="J45" s="130"/>
      <c r="K45" s="121"/>
      <c r="L45" s="121"/>
      <c r="M45" s="130"/>
      <c r="N45" s="121"/>
      <c r="O45" s="121"/>
    </row>
    <row r="46" spans="1:16" ht="54" customHeight="1">
      <c r="A46" s="121"/>
      <c r="B46" s="121"/>
      <c r="C46" s="121"/>
      <c r="D46" s="121"/>
      <c r="E46" s="121"/>
      <c r="F46" s="121"/>
      <c r="G46" s="130"/>
      <c r="H46" s="121"/>
      <c r="I46" s="121"/>
      <c r="J46" s="130"/>
      <c r="K46" s="121"/>
      <c r="L46" s="121"/>
      <c r="M46" s="130"/>
      <c r="N46" s="121"/>
      <c r="O46" s="121"/>
    </row>
    <row r="47" spans="1:16" ht="14.25">
      <c r="A47" s="125"/>
      <c r="B47" s="126"/>
      <c r="C47" s="127"/>
      <c r="D47" s="127"/>
      <c r="E47" s="127"/>
      <c r="F47" s="128"/>
      <c r="G47" s="128"/>
      <c r="H47" s="128"/>
      <c r="I47" s="128"/>
      <c r="J47" s="128"/>
      <c r="K47" s="128"/>
      <c r="L47" s="128"/>
      <c r="M47" s="128"/>
      <c r="N47" s="128"/>
      <c r="O47" s="128"/>
      <c r="P47" s="10"/>
    </row>
    <row r="48" spans="1:16" ht="58.5" customHeight="1">
      <c r="A48" s="121"/>
      <c r="B48" s="121"/>
      <c r="C48" s="121"/>
      <c r="D48" s="121"/>
      <c r="E48" s="121"/>
      <c r="F48" s="121"/>
      <c r="G48" s="130"/>
      <c r="H48" s="121"/>
      <c r="I48" s="121"/>
      <c r="J48" s="130"/>
      <c r="K48" s="121"/>
      <c r="L48" s="121"/>
      <c r="M48" s="130"/>
      <c r="N48" s="121"/>
      <c r="O48" s="121"/>
    </row>
    <row r="49" spans="1:16" ht="58.5" customHeight="1">
      <c r="A49" s="121"/>
      <c r="B49" s="121"/>
      <c r="C49" s="121"/>
      <c r="D49" s="121"/>
      <c r="E49" s="121"/>
      <c r="F49" s="121"/>
      <c r="G49" s="130"/>
      <c r="H49" s="121"/>
      <c r="I49" s="121"/>
      <c r="J49" s="130"/>
      <c r="K49" s="121"/>
      <c r="L49" s="121"/>
      <c r="M49" s="130"/>
      <c r="N49" s="121"/>
      <c r="O49" s="121"/>
    </row>
    <row r="50" spans="1:16" ht="14.25">
      <c r="A50" s="125"/>
      <c r="B50" s="126"/>
      <c r="C50" s="127"/>
      <c r="D50" s="127"/>
      <c r="E50" s="127"/>
      <c r="F50" s="128"/>
      <c r="G50" s="128"/>
      <c r="H50" s="128"/>
      <c r="I50" s="128"/>
      <c r="J50" s="128"/>
      <c r="K50" s="128"/>
      <c r="L50" s="128"/>
      <c r="M50" s="128"/>
      <c r="N50" s="128"/>
      <c r="O50" s="128"/>
      <c r="P50" s="10"/>
    </row>
    <row r="51" spans="1:16" ht="65.25" customHeight="1">
      <c r="A51" s="121"/>
      <c r="B51" s="121"/>
      <c r="C51" s="121"/>
      <c r="D51" s="121"/>
      <c r="E51" s="121"/>
      <c r="F51" s="121"/>
      <c r="G51" s="131"/>
      <c r="H51" s="132"/>
      <c r="I51" s="121"/>
      <c r="J51" s="130"/>
      <c r="K51" s="133"/>
      <c r="L51" s="121"/>
      <c r="M51" s="131"/>
      <c r="N51" s="132"/>
      <c r="O51" s="121"/>
    </row>
    <row r="52" spans="1:16" ht="65.25" customHeight="1">
      <c r="A52" s="121"/>
      <c r="B52" s="121"/>
      <c r="C52" s="121"/>
      <c r="D52" s="121"/>
      <c r="E52" s="121"/>
      <c r="F52" s="121"/>
      <c r="G52" s="131"/>
      <c r="H52" s="132"/>
      <c r="I52" s="121"/>
      <c r="J52" s="130"/>
      <c r="K52" s="133"/>
      <c r="L52" s="121"/>
      <c r="M52" s="131"/>
      <c r="N52" s="132"/>
      <c r="O52" s="121"/>
    </row>
    <row r="53" spans="1:16" ht="48.75" customHeight="1">
      <c r="A53" s="121"/>
      <c r="B53" s="121"/>
      <c r="C53" s="121"/>
      <c r="D53" s="121"/>
      <c r="E53" s="121"/>
      <c r="F53" s="121"/>
      <c r="G53" s="131"/>
      <c r="H53" s="132"/>
      <c r="I53" s="121"/>
      <c r="J53" s="130"/>
      <c r="K53" s="133"/>
      <c r="L53" s="121"/>
      <c r="M53" s="131"/>
      <c r="N53" s="132"/>
      <c r="O53" s="121"/>
    </row>
    <row r="54" spans="1:16" ht="14.25">
      <c r="A54" s="125"/>
      <c r="B54" s="126"/>
      <c r="C54" s="127"/>
      <c r="D54" s="127"/>
      <c r="E54" s="127"/>
      <c r="F54" s="128"/>
      <c r="G54" s="128"/>
      <c r="H54" s="128"/>
      <c r="I54" s="128"/>
      <c r="J54" s="128"/>
      <c r="K54" s="128"/>
      <c r="L54" s="128"/>
      <c r="M54" s="128"/>
      <c r="N54" s="128"/>
      <c r="O54" s="128"/>
      <c r="P54" s="10"/>
    </row>
    <row r="55" spans="1:16" ht="55.5" customHeight="1">
      <c r="A55" s="121"/>
      <c r="B55" s="121"/>
      <c r="C55" s="121"/>
      <c r="D55" s="121"/>
      <c r="E55" s="121"/>
      <c r="F55" s="121"/>
      <c r="G55" s="131"/>
      <c r="H55" s="132"/>
      <c r="I55" s="121"/>
      <c r="J55" s="130"/>
      <c r="K55" s="133"/>
      <c r="L55" s="121"/>
      <c r="M55" s="131"/>
      <c r="N55" s="132"/>
      <c r="O55" s="121"/>
    </row>
    <row r="56" spans="1:16" ht="44.25" customHeight="1">
      <c r="A56" s="121"/>
      <c r="B56" s="121"/>
      <c r="C56" s="121"/>
      <c r="D56" s="121"/>
      <c r="E56" s="121"/>
      <c r="F56" s="121"/>
      <c r="G56" s="131"/>
      <c r="H56" s="132"/>
      <c r="I56" s="121"/>
      <c r="J56" s="130"/>
      <c r="K56" s="133"/>
      <c r="L56" s="121"/>
      <c r="M56" s="131"/>
      <c r="N56" s="132"/>
      <c r="O56" s="121"/>
    </row>
    <row r="57" spans="1:16" ht="14.25">
      <c r="A57" s="125"/>
      <c r="B57" s="126"/>
      <c r="C57" s="127"/>
      <c r="D57" s="127"/>
      <c r="E57" s="127"/>
      <c r="F57" s="128"/>
      <c r="G57" s="128"/>
      <c r="H57" s="128"/>
      <c r="I57" s="128"/>
      <c r="J57" s="128"/>
      <c r="K57" s="128"/>
      <c r="L57" s="128"/>
      <c r="M57" s="128"/>
      <c r="N57" s="128"/>
      <c r="O57" s="128"/>
      <c r="P57" s="10"/>
    </row>
    <row r="58" spans="1:16" ht="57" customHeight="1">
      <c r="A58" s="121"/>
      <c r="B58" s="121"/>
      <c r="C58" s="121"/>
      <c r="D58" s="121"/>
      <c r="E58" s="121"/>
      <c r="F58" s="121"/>
      <c r="G58" s="131"/>
      <c r="H58" s="132"/>
      <c r="I58" s="121"/>
      <c r="J58" s="130"/>
      <c r="K58" s="133"/>
      <c r="L58" s="121"/>
      <c r="M58" s="131"/>
      <c r="N58" s="132"/>
      <c r="O58" s="121"/>
    </row>
    <row r="59" spans="1:16" ht="68.25" customHeight="1">
      <c r="A59" s="121"/>
      <c r="B59" s="121"/>
      <c r="C59" s="121"/>
      <c r="D59" s="121"/>
      <c r="E59" s="121"/>
      <c r="F59" s="121"/>
      <c r="G59" s="131"/>
      <c r="H59" s="132"/>
      <c r="I59" s="121"/>
      <c r="J59" s="130"/>
      <c r="K59" s="133"/>
      <c r="L59" s="121"/>
      <c r="M59" s="131"/>
      <c r="N59" s="132"/>
      <c r="O59" s="121"/>
    </row>
    <row r="60" spans="1:16" ht="14.25">
      <c r="A60" s="125"/>
      <c r="B60" s="126"/>
      <c r="C60" s="127"/>
      <c r="D60" s="127"/>
      <c r="E60" s="127"/>
      <c r="F60" s="128"/>
      <c r="G60" s="128"/>
      <c r="H60" s="128"/>
      <c r="I60" s="128"/>
      <c r="J60" s="128"/>
      <c r="K60" s="128"/>
      <c r="L60" s="128"/>
      <c r="M60" s="128"/>
      <c r="N60" s="128"/>
      <c r="O60" s="128"/>
      <c r="P60" s="10"/>
    </row>
    <row r="61" spans="1:16" ht="56.25" customHeight="1">
      <c r="A61" s="121"/>
      <c r="B61" s="121"/>
      <c r="C61" s="121"/>
      <c r="D61" s="121"/>
      <c r="E61" s="121"/>
      <c r="F61" s="121"/>
      <c r="G61" s="131"/>
      <c r="H61" s="132"/>
      <c r="I61" s="121"/>
      <c r="J61" s="130"/>
      <c r="K61" s="133"/>
      <c r="L61" s="121"/>
      <c r="M61" s="131"/>
      <c r="N61" s="132"/>
      <c r="O61" s="121"/>
    </row>
    <row r="62" spans="1:16" ht="14.25">
      <c r="A62" s="125"/>
      <c r="B62" s="126"/>
      <c r="C62" s="127"/>
      <c r="D62" s="127"/>
      <c r="E62" s="127"/>
      <c r="F62" s="128"/>
      <c r="G62" s="128"/>
      <c r="H62" s="128"/>
      <c r="I62" s="128"/>
      <c r="J62" s="128"/>
      <c r="K62" s="128"/>
      <c r="L62" s="128"/>
      <c r="M62" s="128"/>
      <c r="N62" s="128"/>
      <c r="O62" s="128"/>
      <c r="P62" s="10"/>
    </row>
    <row r="63" spans="1:16" ht="44.25" customHeight="1">
      <c r="A63" s="132"/>
      <c r="B63" s="132"/>
      <c r="C63" s="132"/>
      <c r="D63" s="132"/>
      <c r="E63" s="132"/>
      <c r="F63" s="121"/>
      <c r="G63" s="131"/>
      <c r="H63" s="132"/>
      <c r="I63" s="121"/>
      <c r="J63" s="130"/>
      <c r="K63" s="133"/>
      <c r="L63" s="121"/>
      <c r="M63" s="131"/>
      <c r="N63" s="132"/>
      <c r="O63" s="132"/>
    </row>
    <row r="64" spans="1:16" ht="33.75" customHeight="1">
      <c r="A64" s="132"/>
      <c r="B64" s="132"/>
      <c r="C64" s="132"/>
      <c r="D64" s="132"/>
      <c r="E64" s="132"/>
      <c r="F64" s="121"/>
      <c r="G64" s="131"/>
      <c r="H64" s="132"/>
      <c r="I64" s="121"/>
      <c r="J64" s="130"/>
      <c r="K64" s="133"/>
      <c r="L64" s="121"/>
      <c r="M64" s="131"/>
      <c r="N64" s="132"/>
      <c r="O64" s="132"/>
    </row>
    <row r="65" spans="1:16" ht="14.25">
      <c r="A65" s="125"/>
      <c r="B65" s="126"/>
      <c r="C65" s="127"/>
      <c r="D65" s="127"/>
      <c r="E65" s="127"/>
      <c r="F65" s="128"/>
      <c r="G65" s="128"/>
      <c r="H65" s="128"/>
      <c r="I65" s="128"/>
      <c r="J65" s="128"/>
      <c r="K65" s="128"/>
      <c r="L65" s="128"/>
      <c r="M65" s="128"/>
      <c r="N65" s="128"/>
      <c r="O65" s="128"/>
      <c r="P65" s="10"/>
    </row>
    <row r="66" spans="1:16" ht="42" customHeight="1">
      <c r="A66" s="121"/>
      <c r="B66" s="121"/>
      <c r="C66" s="121"/>
      <c r="D66" s="121"/>
      <c r="E66" s="121"/>
      <c r="F66" s="121"/>
      <c r="G66" s="131"/>
      <c r="H66" s="132"/>
      <c r="I66" s="121"/>
      <c r="J66" s="130"/>
      <c r="K66" s="133"/>
      <c r="L66" s="121"/>
      <c r="M66" s="131"/>
      <c r="N66" s="132"/>
      <c r="O66" s="121"/>
    </row>
    <row r="67" spans="1:16" ht="33.75" customHeight="1">
      <c r="A67" s="121"/>
      <c r="B67" s="121"/>
      <c r="C67" s="121"/>
      <c r="D67" s="121"/>
      <c r="E67" s="121"/>
      <c r="F67" s="121"/>
      <c r="G67" s="131"/>
      <c r="H67" s="132"/>
      <c r="I67" s="121"/>
      <c r="J67" s="130"/>
      <c r="K67" s="133"/>
      <c r="L67" s="121"/>
      <c r="M67" s="131"/>
      <c r="N67" s="132"/>
      <c r="O67" s="121"/>
    </row>
    <row r="68" spans="1:16" ht="14.25">
      <c r="A68" s="125"/>
      <c r="B68" s="126"/>
      <c r="C68" s="127"/>
      <c r="D68" s="127"/>
      <c r="E68" s="127"/>
      <c r="F68" s="128"/>
      <c r="G68" s="128"/>
      <c r="H68" s="128"/>
      <c r="I68" s="128"/>
      <c r="J68" s="128"/>
      <c r="K68" s="128"/>
      <c r="L68" s="128"/>
      <c r="M68" s="128"/>
      <c r="N68" s="128"/>
      <c r="O68" s="128"/>
      <c r="P68" s="10"/>
    </row>
    <row r="69" spans="1:16" ht="45.75" customHeight="1">
      <c r="A69" s="121"/>
      <c r="B69" s="121"/>
      <c r="C69" s="121"/>
      <c r="D69" s="121"/>
      <c r="E69" s="121"/>
      <c r="F69" s="121"/>
      <c r="G69" s="131"/>
      <c r="H69" s="132"/>
      <c r="I69" s="121"/>
      <c r="J69" s="130"/>
      <c r="K69" s="133"/>
      <c r="L69" s="121"/>
      <c r="M69" s="131"/>
      <c r="N69" s="132"/>
      <c r="O69" s="121"/>
    </row>
    <row r="70" spans="1:16" ht="14.25">
      <c r="A70" s="125"/>
      <c r="B70" s="126"/>
      <c r="C70" s="127"/>
      <c r="D70" s="127"/>
      <c r="E70" s="127"/>
      <c r="F70" s="128"/>
      <c r="G70" s="128"/>
      <c r="H70" s="128"/>
      <c r="I70" s="128"/>
      <c r="J70" s="128"/>
      <c r="K70" s="128"/>
      <c r="L70" s="128"/>
      <c r="M70" s="128"/>
      <c r="N70" s="128"/>
      <c r="O70" s="128"/>
      <c r="P70" s="10"/>
    </row>
    <row r="71" spans="1:16" ht="58.5" customHeight="1">
      <c r="A71" s="121"/>
      <c r="B71" s="121"/>
      <c r="C71" s="121"/>
      <c r="D71" s="121"/>
      <c r="E71" s="121"/>
      <c r="F71" s="121"/>
      <c r="G71" s="131"/>
      <c r="H71" s="121"/>
      <c r="I71" s="121"/>
      <c r="J71" s="130"/>
      <c r="K71" s="133"/>
      <c r="L71" s="121"/>
      <c r="M71" s="131"/>
      <c r="N71" s="132"/>
      <c r="O71" s="121"/>
    </row>
    <row r="72" spans="1:16" ht="14.25">
      <c r="A72" s="125"/>
      <c r="B72" s="126"/>
      <c r="C72" s="127"/>
      <c r="D72" s="127"/>
      <c r="E72" s="127"/>
      <c r="F72" s="128"/>
      <c r="G72" s="128"/>
      <c r="H72" s="128"/>
      <c r="I72" s="128"/>
      <c r="J72" s="128"/>
      <c r="K72" s="128"/>
      <c r="L72" s="128"/>
      <c r="M72" s="128"/>
      <c r="N72" s="128"/>
      <c r="O72" s="128"/>
      <c r="P72" s="10"/>
    </row>
    <row r="73" spans="1:16" ht="33.75" customHeight="1">
      <c r="A73" s="132"/>
      <c r="B73" s="132"/>
      <c r="C73" s="132"/>
      <c r="D73" s="132"/>
      <c r="E73" s="132"/>
      <c r="F73" s="121"/>
      <c r="G73" s="131"/>
      <c r="H73" s="121"/>
      <c r="I73" s="121"/>
      <c r="J73" s="130"/>
      <c r="K73" s="133"/>
      <c r="L73" s="121"/>
      <c r="M73" s="131"/>
      <c r="N73" s="132"/>
      <c r="O73" s="132"/>
    </row>
    <row r="74" spans="1:16" ht="14.25">
      <c r="A74" s="125"/>
      <c r="B74" s="126"/>
      <c r="C74" s="127"/>
      <c r="D74" s="127"/>
      <c r="E74" s="127"/>
      <c r="F74" s="128"/>
      <c r="G74" s="128"/>
      <c r="H74" s="128"/>
      <c r="I74" s="128"/>
      <c r="J74" s="128"/>
      <c r="K74" s="128"/>
      <c r="L74" s="128"/>
      <c r="M74" s="128"/>
      <c r="N74" s="128"/>
      <c r="O74" s="128"/>
      <c r="P74" s="10"/>
    </row>
    <row r="75" spans="1:16" ht="33.75" customHeight="1">
      <c r="A75" s="132"/>
      <c r="B75" s="132"/>
      <c r="C75" s="132"/>
      <c r="D75" s="132"/>
      <c r="E75" s="132"/>
      <c r="F75" s="121"/>
      <c r="G75" s="131"/>
      <c r="H75" s="121"/>
      <c r="I75" s="121"/>
      <c r="J75" s="130"/>
      <c r="K75" s="133"/>
      <c r="L75" s="121"/>
      <c r="M75" s="131"/>
      <c r="N75" s="132"/>
      <c r="O75" s="132"/>
    </row>
    <row r="76" spans="1:16" ht="14.25">
      <c r="A76" s="125"/>
      <c r="B76" s="126"/>
      <c r="C76" s="127"/>
      <c r="D76" s="127"/>
      <c r="E76" s="127"/>
      <c r="F76" s="128"/>
      <c r="G76" s="128"/>
      <c r="H76" s="128"/>
      <c r="I76" s="128"/>
      <c r="J76" s="128"/>
      <c r="K76" s="128"/>
      <c r="L76" s="128"/>
      <c r="M76" s="128"/>
      <c r="N76" s="128"/>
      <c r="O76" s="128"/>
      <c r="P76" s="10"/>
    </row>
    <row r="77" spans="1:16" ht="33.75" customHeight="1">
      <c r="A77" s="132"/>
      <c r="B77" s="132"/>
      <c r="C77" s="132"/>
      <c r="D77" s="132"/>
      <c r="E77" s="132"/>
      <c r="F77" s="132"/>
      <c r="G77" s="131"/>
      <c r="H77" s="132"/>
      <c r="I77" s="121"/>
      <c r="J77" s="130"/>
      <c r="K77" s="133"/>
      <c r="L77" s="121"/>
      <c r="M77" s="131"/>
      <c r="N77" s="132"/>
      <c r="O77" s="132"/>
    </row>
    <row r="78" spans="1:16" ht="48" customHeight="1">
      <c r="A78" s="132"/>
      <c r="B78" s="132"/>
      <c r="C78" s="132"/>
      <c r="D78" s="132"/>
      <c r="E78" s="132"/>
      <c r="F78" s="132"/>
      <c r="G78" s="131"/>
      <c r="H78" s="132"/>
      <c r="I78" s="121"/>
      <c r="J78" s="130"/>
      <c r="K78" s="133"/>
      <c r="L78" s="121"/>
      <c r="M78" s="131"/>
      <c r="N78" s="132"/>
      <c r="O78" s="132"/>
    </row>
    <row r="79" spans="1:16" ht="14.25">
      <c r="A79" s="125"/>
      <c r="B79" s="126"/>
      <c r="C79" s="127"/>
      <c r="D79" s="127"/>
      <c r="E79" s="127"/>
      <c r="F79" s="128"/>
      <c r="G79" s="128"/>
      <c r="H79" s="128"/>
      <c r="I79" s="128"/>
      <c r="J79" s="128"/>
      <c r="K79" s="128"/>
      <c r="L79" s="128"/>
      <c r="M79" s="128"/>
      <c r="N79" s="128"/>
      <c r="O79" s="128"/>
      <c r="P79" s="10"/>
    </row>
    <row r="80" spans="1:16" ht="54" customHeight="1">
      <c r="A80" s="132"/>
      <c r="B80" s="132"/>
      <c r="C80" s="132"/>
      <c r="D80" s="132"/>
      <c r="E80" s="132"/>
      <c r="F80" s="121"/>
      <c r="G80" s="131"/>
      <c r="H80" s="132"/>
      <c r="I80" s="121"/>
      <c r="J80" s="130"/>
      <c r="K80" s="133"/>
      <c r="L80" s="121"/>
      <c r="M80" s="131"/>
      <c r="N80" s="132"/>
      <c r="O80" s="132"/>
    </row>
    <row r="81" spans="1:16" ht="54" customHeight="1">
      <c r="A81" s="132"/>
      <c r="B81" s="132"/>
      <c r="C81" s="132"/>
      <c r="D81" s="132"/>
      <c r="E81" s="132"/>
      <c r="F81" s="121"/>
      <c r="G81" s="131"/>
      <c r="H81" s="132"/>
      <c r="I81" s="121"/>
      <c r="J81" s="130"/>
      <c r="K81" s="133"/>
      <c r="L81" s="121"/>
      <c r="M81" s="131"/>
      <c r="N81" s="132"/>
      <c r="O81" s="132"/>
    </row>
    <row r="82" spans="1:16" ht="14.25">
      <c r="A82" s="125"/>
      <c r="B82" s="126"/>
      <c r="C82" s="127"/>
      <c r="D82" s="127"/>
      <c r="E82" s="127"/>
      <c r="F82" s="128"/>
      <c r="G82" s="128"/>
      <c r="H82" s="128"/>
      <c r="I82" s="128"/>
      <c r="J82" s="128"/>
      <c r="K82" s="128"/>
      <c r="L82" s="128"/>
      <c r="M82" s="128"/>
      <c r="N82" s="128"/>
      <c r="O82" s="128"/>
      <c r="P82" s="10"/>
    </row>
    <row r="83" spans="1:16" ht="33.75" customHeight="1">
      <c r="A83" s="132"/>
      <c r="B83" s="132"/>
      <c r="C83" s="132"/>
      <c r="D83" s="132"/>
      <c r="E83" s="132"/>
      <c r="F83" s="121"/>
      <c r="G83" s="131"/>
      <c r="H83" s="132"/>
      <c r="I83" s="121"/>
      <c r="J83" s="130"/>
      <c r="K83" s="133"/>
      <c r="L83" s="121"/>
      <c r="M83" s="131"/>
      <c r="N83" s="132"/>
      <c r="O83" s="132"/>
    </row>
    <row r="84" spans="1:16" ht="14.25">
      <c r="A84" s="125"/>
      <c r="B84" s="126"/>
      <c r="C84" s="127"/>
      <c r="D84" s="127"/>
      <c r="E84" s="127"/>
      <c r="F84" s="128"/>
      <c r="G84" s="128"/>
      <c r="H84" s="128"/>
      <c r="I84" s="128"/>
      <c r="J84" s="128"/>
      <c r="K84" s="128"/>
      <c r="L84" s="128"/>
      <c r="M84" s="128"/>
      <c r="N84" s="128"/>
      <c r="O84" s="128"/>
      <c r="P84" s="10"/>
    </row>
    <row r="85" spans="1:16" ht="33.75" customHeight="1">
      <c r="A85" s="132"/>
      <c r="B85" s="132"/>
      <c r="C85" s="132"/>
      <c r="D85" s="132"/>
      <c r="E85" s="132"/>
      <c r="F85" s="121"/>
      <c r="G85" s="131"/>
      <c r="H85" s="132"/>
      <c r="I85" s="121"/>
      <c r="J85" s="130"/>
      <c r="K85" s="133"/>
      <c r="L85" s="121"/>
      <c r="M85" s="131"/>
      <c r="N85" s="132"/>
      <c r="O85" s="132"/>
    </row>
    <row r="86" spans="1:16" ht="33.75" customHeight="1">
      <c r="A86" s="132"/>
      <c r="B86" s="132"/>
      <c r="C86" s="132"/>
      <c r="D86" s="132"/>
      <c r="E86" s="132"/>
      <c r="F86" s="121"/>
      <c r="G86" s="131"/>
      <c r="H86" s="132"/>
      <c r="I86" s="121"/>
      <c r="J86" s="130"/>
      <c r="K86" s="133"/>
      <c r="L86" s="121"/>
      <c r="M86" s="131"/>
      <c r="N86" s="132"/>
      <c r="O86" s="132"/>
    </row>
    <row r="87" spans="1:16" ht="54.75" customHeight="1">
      <c r="A87" s="132"/>
      <c r="B87" s="132"/>
      <c r="C87" s="132"/>
      <c r="D87" s="132"/>
      <c r="E87" s="132"/>
      <c r="F87" s="121"/>
      <c r="G87" s="131"/>
      <c r="H87" s="132"/>
      <c r="I87" s="121"/>
      <c r="J87" s="130"/>
      <c r="K87" s="133"/>
      <c r="L87" s="121"/>
      <c r="M87" s="131"/>
      <c r="N87" s="132"/>
      <c r="O87" s="132"/>
    </row>
    <row r="88" spans="1:16" ht="14.25">
      <c r="A88" s="125"/>
      <c r="B88" s="126"/>
      <c r="C88" s="127"/>
      <c r="D88" s="127"/>
      <c r="E88" s="127"/>
      <c r="F88" s="128"/>
      <c r="G88" s="128"/>
      <c r="H88" s="128"/>
      <c r="I88" s="128"/>
      <c r="J88" s="128"/>
      <c r="K88" s="128"/>
      <c r="L88" s="128"/>
      <c r="M88" s="128"/>
      <c r="N88" s="128"/>
      <c r="O88" s="128"/>
      <c r="P88" s="10"/>
    </row>
    <row r="89" spans="1:16" ht="33.75" customHeight="1">
      <c r="A89" s="132"/>
      <c r="B89" s="132"/>
      <c r="C89" s="132"/>
      <c r="D89" s="132"/>
      <c r="E89" s="132"/>
      <c r="F89" s="121"/>
      <c r="G89" s="131"/>
      <c r="H89" s="132"/>
      <c r="I89" s="121"/>
      <c r="J89" s="130"/>
      <c r="K89" s="133"/>
      <c r="L89" s="121"/>
      <c r="M89" s="131"/>
      <c r="N89" s="132"/>
      <c r="O89" s="132"/>
    </row>
    <row r="90" spans="1:16" ht="14.25">
      <c r="A90" s="125"/>
      <c r="B90" s="126"/>
      <c r="C90" s="127"/>
      <c r="D90" s="127"/>
      <c r="E90" s="127"/>
      <c r="F90" s="128"/>
      <c r="G90" s="128"/>
      <c r="H90" s="128"/>
      <c r="I90" s="128"/>
      <c r="J90" s="128"/>
      <c r="K90" s="128"/>
      <c r="L90" s="128"/>
      <c r="M90" s="128"/>
      <c r="N90" s="128"/>
      <c r="O90" s="128"/>
      <c r="P90" s="10"/>
    </row>
    <row r="91" spans="1:16" ht="33.75" customHeight="1">
      <c r="A91" s="132"/>
      <c r="B91" s="132"/>
      <c r="C91" s="132"/>
      <c r="D91" s="132"/>
      <c r="E91" s="132"/>
      <c r="F91" s="121"/>
      <c r="G91" s="131"/>
      <c r="H91" s="132"/>
      <c r="I91" s="121"/>
      <c r="J91" s="130"/>
      <c r="K91" s="133"/>
      <c r="L91" s="121"/>
      <c r="M91" s="131"/>
      <c r="N91" s="132"/>
      <c r="O91" s="132"/>
    </row>
    <row r="92" spans="1:16" ht="14.25">
      <c r="A92" s="125"/>
      <c r="B92" s="126"/>
      <c r="C92" s="127"/>
      <c r="D92" s="127"/>
      <c r="E92" s="127"/>
      <c r="F92" s="128"/>
      <c r="G92" s="128"/>
      <c r="H92" s="128"/>
      <c r="I92" s="128"/>
      <c r="J92" s="128"/>
      <c r="K92" s="128"/>
      <c r="L92" s="128"/>
      <c r="M92" s="128"/>
      <c r="N92" s="128"/>
      <c r="O92" s="128"/>
      <c r="P92" s="10"/>
    </row>
    <row r="93" spans="1:16" ht="50.25" customHeight="1">
      <c r="A93" s="132"/>
      <c r="B93" s="132"/>
      <c r="C93" s="132"/>
      <c r="D93" s="132"/>
      <c r="E93" s="132"/>
      <c r="F93" s="121"/>
      <c r="G93" s="131"/>
      <c r="H93" s="132"/>
      <c r="I93" s="121"/>
      <c r="J93" s="130"/>
      <c r="K93" s="133"/>
      <c r="L93" s="121"/>
      <c r="M93" s="131"/>
      <c r="N93" s="132"/>
      <c r="O93" s="132"/>
    </row>
    <row r="94" spans="1:16" ht="45.75" customHeight="1">
      <c r="A94" s="134"/>
      <c r="B94" s="132"/>
      <c r="C94" s="132"/>
      <c r="D94" s="132"/>
      <c r="E94" s="132"/>
      <c r="F94" s="121"/>
      <c r="G94" s="131"/>
      <c r="H94" s="132"/>
      <c r="I94" s="121"/>
      <c r="J94" s="130"/>
      <c r="K94" s="133"/>
      <c r="L94" s="121"/>
      <c r="M94" s="131"/>
      <c r="N94" s="132"/>
      <c r="O94" s="132"/>
    </row>
    <row r="95" spans="1:16" ht="39.75" customHeight="1"/>
    <row r="96" spans="1:16" ht="39.75" customHeight="1"/>
    <row r="97" spans="1:15" ht="39.75" customHeight="1"/>
    <row r="98" spans="1:15" ht="39.75" customHeight="1"/>
    <row r="99" spans="1:15" ht="39.75" customHeight="1"/>
    <row r="100" spans="1:15" ht="39.75" customHeight="1">
      <c r="A100" s="56"/>
      <c r="B100" s="56"/>
      <c r="C100" s="56"/>
      <c r="D100" s="56"/>
      <c r="E100" s="56"/>
      <c r="F100" s="56"/>
      <c r="G100" s="56"/>
      <c r="H100" s="56"/>
      <c r="I100" s="56"/>
      <c r="J100" s="56"/>
      <c r="K100" s="56"/>
      <c r="L100" s="56"/>
      <c r="M100" s="56"/>
      <c r="N100" s="56"/>
      <c r="O100" s="56"/>
    </row>
    <row r="101" spans="1:15" ht="39.75" customHeight="1">
      <c r="A101" s="50"/>
      <c r="B101" s="50"/>
      <c r="C101" s="50"/>
      <c r="D101" s="50"/>
      <c r="E101" s="50"/>
      <c r="F101" s="49"/>
      <c r="G101" s="57"/>
      <c r="H101" s="50"/>
      <c r="I101" s="49"/>
      <c r="J101" s="58"/>
      <c r="K101" s="50"/>
      <c r="L101" s="50"/>
      <c r="M101" s="50"/>
      <c r="N101" s="50"/>
      <c r="O101" s="50"/>
    </row>
    <row r="102" spans="1:15" ht="39.75" customHeight="1">
      <c r="A102" s="50"/>
      <c r="B102" s="50"/>
      <c r="C102" s="50"/>
      <c r="D102" s="50"/>
      <c r="E102" s="50"/>
      <c r="F102" s="50"/>
      <c r="G102" s="50"/>
      <c r="H102" s="50"/>
      <c r="I102" s="50"/>
      <c r="J102" s="50"/>
      <c r="K102" s="50"/>
      <c r="L102" s="50"/>
      <c r="M102" s="50"/>
      <c r="N102" s="50"/>
      <c r="O102" s="50"/>
    </row>
    <row r="103" spans="1:15" ht="39.75" customHeight="1">
      <c r="A103" s="50"/>
      <c r="B103" s="50"/>
      <c r="C103" s="50"/>
      <c r="D103" s="50"/>
      <c r="E103" s="50"/>
      <c r="F103" s="49"/>
      <c r="G103" s="57"/>
      <c r="H103" s="50"/>
      <c r="I103" s="49"/>
      <c r="J103" s="57"/>
      <c r="K103" s="50"/>
      <c r="L103" s="50"/>
      <c r="M103" s="49"/>
      <c r="N103" s="50"/>
      <c r="O103" s="50"/>
    </row>
    <row r="104" spans="1:15" ht="39.75" customHeight="1">
      <c r="A104" s="50"/>
      <c r="B104" s="50"/>
      <c r="C104" s="50"/>
      <c r="D104" s="50"/>
      <c r="E104" s="50"/>
      <c r="F104" s="49"/>
      <c r="G104" s="57"/>
      <c r="H104" s="50"/>
      <c r="I104" s="49"/>
      <c r="J104" s="57"/>
      <c r="K104" s="50"/>
      <c r="L104" s="50"/>
      <c r="M104" s="49"/>
      <c r="N104" s="50"/>
      <c r="O104" s="50"/>
    </row>
    <row r="105" spans="1:15" ht="39.75" customHeight="1">
      <c r="A105" s="50"/>
      <c r="B105" s="50"/>
      <c r="C105" s="50"/>
      <c r="D105" s="50"/>
      <c r="E105" s="50"/>
      <c r="F105" s="50"/>
      <c r="G105" s="50"/>
      <c r="H105" s="50"/>
      <c r="I105" s="50"/>
      <c r="J105" s="50"/>
      <c r="K105" s="50"/>
      <c r="L105" s="50"/>
      <c r="M105" s="50"/>
      <c r="N105" s="50"/>
      <c r="O105" s="50"/>
    </row>
    <row r="106" spans="1:15" ht="39.75" customHeight="1">
      <c r="A106" s="50"/>
      <c r="B106" s="50"/>
      <c r="C106" s="50"/>
      <c r="D106" s="50"/>
      <c r="E106" s="50"/>
      <c r="F106" s="49"/>
      <c r="G106" s="57"/>
      <c r="H106" s="50"/>
      <c r="I106" s="49"/>
      <c r="J106" s="57"/>
      <c r="K106" s="50"/>
      <c r="L106" s="50"/>
      <c r="M106" s="49"/>
      <c r="N106" s="50"/>
      <c r="O106" s="50"/>
    </row>
    <row r="107" spans="1:15" ht="39.75" customHeight="1">
      <c r="A107" s="50"/>
      <c r="B107" s="50"/>
      <c r="C107" s="50"/>
      <c r="D107" s="50"/>
      <c r="E107" s="50"/>
      <c r="F107" s="50"/>
      <c r="G107" s="50"/>
      <c r="H107" s="50"/>
      <c r="I107" s="50"/>
      <c r="J107" s="50"/>
      <c r="K107" s="50"/>
      <c r="L107" s="50"/>
      <c r="M107" s="50"/>
      <c r="N107" s="50"/>
      <c r="O107" s="50"/>
    </row>
    <row r="108" spans="1:15" ht="39.75" customHeight="1">
      <c r="A108" s="50"/>
      <c r="B108" s="50"/>
      <c r="C108" s="50"/>
      <c r="D108" s="50"/>
      <c r="E108" s="50"/>
      <c r="F108" s="49"/>
      <c r="G108" s="57"/>
      <c r="H108" s="50"/>
      <c r="I108" s="49"/>
      <c r="J108" s="57"/>
      <c r="K108" s="50"/>
      <c r="L108" s="50"/>
      <c r="M108" s="50"/>
      <c r="N108" s="50"/>
      <c r="O108" s="50"/>
    </row>
    <row r="109" spans="1:15" ht="39.75" customHeight="1">
      <c r="A109" s="50"/>
      <c r="B109" s="50"/>
      <c r="C109" s="50"/>
      <c r="D109" s="50"/>
      <c r="E109" s="50"/>
      <c r="F109" s="50"/>
      <c r="G109" s="50"/>
      <c r="H109" s="50"/>
      <c r="I109" s="50"/>
      <c r="J109" s="50"/>
      <c r="K109" s="50"/>
      <c r="L109" s="50"/>
      <c r="M109" s="50"/>
      <c r="N109" s="50"/>
      <c r="O109" s="50"/>
    </row>
    <row r="110" spans="1:15" ht="39.75" customHeight="1">
      <c r="A110" s="50"/>
      <c r="B110" s="50"/>
      <c r="C110" s="50"/>
      <c r="D110" s="50"/>
      <c r="E110" s="50"/>
      <c r="F110" s="49"/>
      <c r="G110" s="57"/>
      <c r="H110" s="50"/>
      <c r="I110" s="49"/>
      <c r="J110" s="57"/>
      <c r="K110" s="50"/>
      <c r="L110" s="50"/>
      <c r="M110" s="59"/>
      <c r="N110" s="56"/>
      <c r="O110" s="50"/>
    </row>
    <row r="111" spans="1:15" ht="39.75" customHeight="1">
      <c r="A111" s="50"/>
      <c r="B111" s="50"/>
      <c r="C111" s="50"/>
      <c r="D111" s="50"/>
      <c r="E111" s="50"/>
      <c r="F111" s="50"/>
      <c r="G111" s="50"/>
      <c r="H111" s="50"/>
      <c r="I111" s="50"/>
      <c r="J111" s="50"/>
      <c r="K111" s="50"/>
      <c r="L111" s="50"/>
      <c r="M111" s="50"/>
      <c r="N111" s="50"/>
      <c r="O111" s="50"/>
    </row>
    <row r="112" spans="1:15" ht="39.75" customHeight="1">
      <c r="A112" s="50"/>
      <c r="B112" s="50"/>
      <c r="C112" s="50"/>
      <c r="D112" s="50"/>
      <c r="E112" s="50"/>
      <c r="F112" s="49"/>
      <c r="G112" s="57"/>
      <c r="H112" s="50"/>
      <c r="I112" s="49"/>
      <c r="J112" s="57"/>
      <c r="K112" s="50"/>
      <c r="L112" s="50"/>
      <c r="M112" s="59"/>
      <c r="N112" s="56"/>
      <c r="O112" s="50"/>
    </row>
    <row r="113" spans="1:15" ht="39.75" customHeight="1">
      <c r="A113" s="50"/>
      <c r="B113" s="50"/>
      <c r="C113" s="50"/>
      <c r="D113" s="50"/>
      <c r="E113" s="50"/>
      <c r="F113" s="49"/>
      <c r="G113" s="57"/>
      <c r="H113" s="50"/>
      <c r="I113" s="49"/>
      <c r="J113" s="57"/>
      <c r="K113" s="50"/>
      <c r="L113" s="50"/>
      <c r="M113" s="59"/>
      <c r="N113" s="56"/>
      <c r="O113" s="50"/>
    </row>
    <row r="114" spans="1:15" ht="39.75" customHeight="1"/>
    <row r="115" spans="1:15" ht="39.75" customHeight="1"/>
    <row r="116" spans="1:15" ht="39.75" customHeight="1"/>
    <row r="117" spans="1:15" ht="39.75" customHeight="1"/>
    <row r="118" spans="1:15" ht="39.75" customHeight="1"/>
    <row r="119" spans="1:15" ht="39.75" customHeight="1"/>
    <row r="120" spans="1:15" ht="39.75" customHeight="1"/>
    <row r="121" spans="1:15" ht="39.75" customHeight="1"/>
    <row r="122" spans="1:15" ht="39.75" customHeight="1"/>
    <row r="123" spans="1:15" ht="39.75" customHeight="1"/>
    <row r="124" spans="1:15" ht="39.75" customHeight="1"/>
    <row r="125" spans="1:15" ht="39.75" customHeight="1"/>
    <row r="126" spans="1:15" ht="39.75" customHeight="1"/>
    <row r="127" spans="1:15" ht="39.75" customHeight="1"/>
    <row r="128" spans="1:15" ht="39.75" customHeight="1"/>
    <row r="129" ht="39.75" customHeight="1"/>
    <row r="130" ht="39.75" customHeight="1"/>
    <row r="131" ht="39.75" customHeight="1"/>
    <row r="132" ht="39.75" customHeight="1"/>
    <row r="133" ht="39.75" customHeight="1"/>
    <row r="134" ht="39.75" customHeight="1"/>
    <row r="135" ht="39.75" customHeight="1"/>
    <row r="136" ht="39.75" customHeight="1"/>
    <row r="137" ht="39.75" customHeight="1"/>
    <row r="138" ht="39.75" customHeight="1"/>
    <row r="139" ht="39.75" customHeight="1"/>
    <row r="140" ht="39.75" customHeight="1"/>
    <row r="141" ht="39.75" customHeight="1"/>
    <row r="142" ht="39.75" customHeight="1"/>
    <row r="143" ht="39.75" customHeight="1"/>
    <row r="144" ht="39.75" customHeight="1"/>
    <row r="145" ht="39.75" customHeight="1"/>
    <row r="146" ht="39.75" customHeight="1"/>
    <row r="147" ht="39.75" customHeight="1"/>
    <row r="148" ht="39.75" customHeight="1"/>
    <row r="149" ht="39.75" customHeight="1"/>
    <row r="150" ht="39.75" customHeight="1"/>
    <row r="151" ht="39.75" customHeight="1"/>
    <row r="152" ht="39.75" customHeight="1"/>
    <row r="153" ht="39.75" customHeight="1"/>
    <row r="154" ht="39.75" customHeight="1"/>
    <row r="155" ht="39.75" customHeight="1"/>
    <row r="156" ht="39.75" customHeight="1"/>
    <row r="157" ht="39.75" customHeight="1"/>
    <row r="158" ht="39.75" customHeight="1"/>
    <row r="159" ht="39.75" customHeight="1"/>
    <row r="160" ht="39.75" customHeight="1"/>
    <row r="161" ht="39.75" customHeight="1"/>
    <row r="162" ht="39.75" customHeight="1"/>
    <row r="163" ht="39.75" customHeight="1"/>
    <row r="164" ht="39.75" customHeight="1"/>
    <row r="165" ht="39.75" customHeight="1"/>
    <row r="166" ht="39.75" customHeight="1"/>
    <row r="167" ht="39.75" customHeight="1"/>
    <row r="168" ht="39.75" customHeight="1"/>
    <row r="169" ht="39.75" customHeight="1"/>
    <row r="170" ht="39.75" customHeight="1"/>
    <row r="171" ht="39.75" customHeight="1"/>
    <row r="172" ht="39.75" customHeight="1"/>
    <row r="173" ht="39.75" customHeight="1"/>
    <row r="174" ht="39.75" customHeight="1"/>
    <row r="175" ht="39.75" customHeight="1"/>
    <row r="176" ht="39.75" customHeight="1"/>
    <row r="177" ht="39.75" customHeight="1"/>
    <row r="178" ht="39.75" customHeight="1"/>
    <row r="179" ht="39.75" customHeight="1"/>
    <row r="180" ht="39.75" customHeight="1"/>
    <row r="181" ht="39.75" customHeight="1"/>
    <row r="182" ht="39.75" customHeight="1"/>
    <row r="183" ht="39.75" customHeight="1"/>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0" ht="39.75" customHeight="1"/>
    <row r="211" ht="39.75" customHeight="1"/>
    <row r="212" ht="39.75" customHeight="1"/>
    <row r="213" ht="39.75" customHeight="1"/>
    <row r="214" ht="39.75" customHeight="1"/>
    <row r="215" ht="39.75" customHeight="1"/>
    <row r="216" ht="39.75" customHeight="1"/>
    <row r="217" ht="39.75" customHeight="1"/>
    <row r="218" ht="39.75" customHeight="1"/>
    <row r="219" ht="39.75" customHeight="1"/>
    <row r="220" ht="39.75" customHeight="1"/>
    <row r="221" ht="39.75" customHeight="1"/>
    <row r="222" ht="39.75" customHeight="1"/>
    <row r="223" ht="39.75" customHeight="1"/>
    <row r="224" ht="39.75" customHeight="1"/>
    <row r="225" ht="39.75" customHeight="1"/>
    <row r="226" ht="39.75" customHeight="1"/>
    <row r="227" ht="39.75" customHeight="1"/>
    <row r="228" ht="39.75" customHeight="1"/>
    <row r="229" ht="39.75" customHeight="1"/>
    <row r="230" ht="39.75" customHeight="1"/>
    <row r="231" ht="39.75" customHeight="1"/>
    <row r="232" ht="39.75" customHeight="1"/>
    <row r="233" ht="39.75" customHeight="1"/>
    <row r="234" ht="39.75" customHeight="1"/>
    <row r="235" ht="39.75" customHeight="1"/>
    <row r="236" ht="39.75" customHeight="1"/>
    <row r="237" ht="39.75" customHeight="1"/>
    <row r="238" ht="39.75" customHeight="1"/>
    <row r="239" ht="39.75" customHeight="1"/>
    <row r="240" ht="39.75" customHeight="1"/>
    <row r="241" ht="39.75" customHeight="1"/>
    <row r="242" ht="39.75" customHeight="1"/>
    <row r="243" ht="39.75" customHeight="1"/>
    <row r="244" ht="39.75" customHeight="1"/>
    <row r="245" ht="39.75" customHeight="1"/>
    <row r="246" ht="39.75" customHeight="1"/>
    <row r="247" ht="39.75" customHeight="1"/>
    <row r="248" ht="39.75" customHeight="1"/>
    <row r="249" ht="39.75" customHeight="1"/>
    <row r="250" ht="39.75" customHeight="1"/>
    <row r="251" ht="39.75" customHeight="1"/>
    <row r="252" ht="39.75" customHeight="1"/>
    <row r="253" ht="39.75" customHeight="1"/>
    <row r="254" ht="39.75" customHeight="1"/>
    <row r="255" ht="39.75" customHeight="1"/>
    <row r="256" ht="39.75" customHeight="1"/>
    <row r="257" ht="39.75" customHeight="1"/>
    <row r="258" ht="39.75" customHeight="1"/>
    <row r="259" ht="39.75" customHeight="1"/>
    <row r="260" ht="39.75" customHeight="1"/>
    <row r="261" ht="39.75" customHeight="1"/>
    <row r="262" ht="39.75" customHeight="1"/>
    <row r="263" ht="39.75" customHeight="1"/>
    <row r="264" ht="39.75" customHeight="1"/>
    <row r="265" ht="39.75" customHeight="1"/>
    <row r="266" ht="39.75" customHeight="1"/>
    <row r="267" ht="39.75" customHeight="1"/>
    <row r="268" ht="39.75" customHeight="1"/>
    <row r="269" ht="39.75" customHeight="1"/>
    <row r="270" ht="39.75" customHeight="1"/>
    <row r="271" ht="39.75" customHeight="1"/>
    <row r="272" ht="39.75" customHeight="1"/>
    <row r="273" ht="39.75" customHeight="1"/>
    <row r="274" ht="39.75" customHeight="1"/>
    <row r="275" ht="39.75" customHeight="1"/>
    <row r="276" ht="39.75" customHeight="1"/>
    <row r="277" ht="39.75" customHeight="1"/>
    <row r="278" ht="39.75" customHeight="1"/>
    <row r="279" ht="39.75" customHeight="1"/>
    <row r="280" ht="39.75" customHeight="1"/>
    <row r="281" ht="39.75" customHeight="1"/>
    <row r="282" ht="39.75" customHeight="1"/>
    <row r="283" ht="39.75" customHeight="1"/>
    <row r="284" ht="39.75" customHeight="1"/>
    <row r="285" ht="39.75" customHeight="1"/>
    <row r="286" ht="39.75" customHeight="1"/>
    <row r="287" ht="39.75" customHeight="1"/>
    <row r="288" ht="39.75" customHeight="1"/>
    <row r="289" ht="39.75" customHeight="1"/>
    <row r="290" ht="39.75" customHeight="1"/>
    <row r="291" ht="39.75" customHeight="1"/>
    <row r="292" ht="39.75" customHeight="1"/>
    <row r="293" ht="39.75" customHeight="1"/>
    <row r="294" ht="39.75" customHeight="1"/>
    <row r="295" ht="39.75" customHeight="1"/>
    <row r="296" ht="39.75" customHeight="1"/>
    <row r="297" ht="39.75" customHeight="1"/>
    <row r="298" ht="39.75" customHeight="1"/>
    <row r="299" ht="39.75" customHeight="1"/>
    <row r="300" ht="39.75" customHeight="1"/>
    <row r="301" ht="39.75" customHeight="1"/>
    <row r="302" ht="39.75" customHeight="1"/>
    <row r="303" ht="39.75" customHeight="1"/>
    <row r="304" ht="39.75" customHeight="1"/>
    <row r="305" ht="39.75" customHeight="1"/>
    <row r="306" ht="39.75" customHeight="1"/>
    <row r="307" ht="39.75" customHeight="1"/>
    <row r="308" ht="39.75" customHeight="1"/>
    <row r="309" ht="39.75" customHeight="1"/>
    <row r="310" ht="39.75" customHeight="1"/>
    <row r="311" ht="39.75" customHeight="1"/>
    <row r="312" ht="39.75" customHeight="1"/>
    <row r="313" ht="39.75" customHeight="1"/>
    <row r="314" ht="39.75" customHeight="1"/>
    <row r="315" ht="39.75" customHeight="1"/>
    <row r="316" ht="39.75" customHeight="1"/>
    <row r="317" ht="39.75" customHeight="1"/>
    <row r="318" ht="39.75" customHeight="1"/>
    <row r="319" ht="39.75" customHeight="1"/>
    <row r="320" ht="39.75" customHeight="1"/>
    <row r="321" ht="39.75" customHeight="1"/>
    <row r="322" ht="39.75" customHeight="1"/>
    <row r="323" ht="39.75" customHeight="1"/>
    <row r="324" ht="39.75" customHeight="1"/>
    <row r="325" ht="39.75" customHeight="1"/>
    <row r="326" ht="39.75" customHeight="1"/>
    <row r="327" ht="39.75" customHeight="1"/>
    <row r="328" ht="39.75" customHeight="1"/>
    <row r="329" ht="39.75" customHeight="1"/>
    <row r="330" ht="39.75" customHeight="1"/>
    <row r="331" ht="39.75" customHeight="1"/>
    <row r="332" ht="39.75" customHeight="1"/>
    <row r="333" ht="39.75" customHeight="1"/>
    <row r="334" ht="39.75" customHeight="1"/>
    <row r="335" ht="39.75" customHeight="1"/>
    <row r="336" ht="39.75" customHeight="1"/>
    <row r="337" ht="39.75" customHeight="1"/>
    <row r="338" ht="39.75" customHeight="1"/>
    <row r="339" ht="39.75" customHeight="1"/>
    <row r="340" ht="39.75" customHeight="1"/>
    <row r="341" ht="39.75" customHeight="1"/>
    <row r="342" ht="39.75" customHeight="1"/>
    <row r="343" ht="39.75" customHeight="1"/>
    <row r="344" ht="39.75" customHeight="1"/>
    <row r="345" ht="39.75" customHeight="1"/>
    <row r="346" ht="39.75" customHeight="1"/>
    <row r="347" ht="39.75" customHeight="1"/>
    <row r="348" ht="39.75" customHeight="1"/>
    <row r="349" ht="39.75" customHeight="1"/>
    <row r="350" ht="39.75" customHeight="1"/>
    <row r="351" ht="39.75" customHeight="1"/>
    <row r="352" ht="39.75" customHeight="1"/>
    <row r="353" ht="39.75" customHeight="1"/>
    <row r="354" ht="39.75" customHeight="1"/>
    <row r="355" ht="39.75" customHeight="1"/>
    <row r="356" ht="39.75" customHeight="1"/>
    <row r="357" ht="39.75" customHeight="1"/>
    <row r="358" ht="39.75" customHeight="1"/>
    <row r="359" ht="39.75" customHeight="1"/>
    <row r="360" ht="39.75" customHeight="1"/>
    <row r="361" ht="39.75" customHeight="1"/>
    <row r="362" ht="39.75" customHeight="1"/>
    <row r="363" ht="39.75" customHeight="1"/>
    <row r="364" ht="39.75" customHeight="1"/>
    <row r="365" ht="39.75" customHeight="1"/>
    <row r="366" ht="39.75" customHeight="1"/>
    <row r="367" ht="39.75" customHeight="1"/>
    <row r="368" ht="39.75" customHeight="1"/>
    <row r="369" ht="39.75" customHeight="1"/>
    <row r="370" ht="39.75" customHeight="1"/>
    <row r="371" ht="39.75" customHeight="1"/>
    <row r="372" ht="39.75" customHeight="1"/>
    <row r="373" ht="39.75" customHeight="1"/>
    <row r="374" ht="39.75" customHeight="1"/>
    <row r="375" ht="39.75" customHeight="1"/>
    <row r="376" ht="39.75" customHeight="1"/>
    <row r="377" ht="39.75" customHeight="1"/>
    <row r="378" ht="39.75" customHeight="1"/>
    <row r="379" ht="39.75" customHeight="1"/>
    <row r="380" ht="39.75" customHeight="1"/>
    <row r="381" ht="39.75" customHeight="1"/>
    <row r="382" ht="39.75" customHeight="1"/>
    <row r="383" ht="39.75" customHeight="1"/>
    <row r="384" ht="39.75" customHeight="1"/>
    <row r="385" ht="39.75" customHeight="1"/>
    <row r="386" ht="39.75" customHeight="1"/>
    <row r="387" ht="39.75" customHeight="1"/>
    <row r="388" ht="39.75" customHeight="1"/>
    <row r="389" ht="39.75" customHeight="1"/>
    <row r="390" ht="39.75" customHeight="1"/>
    <row r="391" ht="39.75" customHeight="1"/>
    <row r="392" ht="39.75" customHeight="1"/>
    <row r="393" ht="39.75" customHeight="1"/>
    <row r="394" ht="39.75" customHeight="1"/>
    <row r="395" ht="39.75" customHeight="1"/>
    <row r="396" ht="39.75" customHeight="1"/>
    <row r="397" ht="39.75" customHeight="1"/>
    <row r="398" ht="39.75" customHeight="1"/>
    <row r="399" ht="39.75" customHeight="1"/>
    <row r="400" ht="39.75" customHeight="1"/>
    <row r="401" ht="39.75" customHeight="1"/>
    <row r="402" ht="39.75" customHeight="1"/>
    <row r="403" ht="39.75" customHeight="1"/>
    <row r="404" ht="39.75" customHeight="1"/>
    <row r="405" ht="39.75" customHeight="1"/>
    <row r="406" ht="39.75" customHeight="1"/>
    <row r="407" ht="39.75" customHeight="1"/>
    <row r="408" ht="39.75" customHeight="1"/>
    <row r="409" ht="39.75" customHeight="1"/>
    <row r="410" ht="39.75" customHeight="1"/>
    <row r="411" ht="39.75" customHeight="1"/>
    <row r="412" ht="39.75" customHeight="1"/>
    <row r="413" ht="39.75" customHeight="1"/>
    <row r="414" ht="39.75" customHeight="1"/>
    <row r="415" ht="39.75" customHeight="1"/>
    <row r="416" ht="39.75" customHeight="1"/>
    <row r="417" ht="39.75" customHeight="1"/>
    <row r="418" ht="39.75" customHeight="1"/>
    <row r="419" ht="39.75" customHeight="1"/>
    <row r="420" ht="39.75" customHeight="1"/>
    <row r="421" ht="39.75" customHeight="1"/>
    <row r="422" ht="39.75" customHeight="1"/>
    <row r="423" ht="39.75" customHeight="1"/>
    <row r="424" ht="39.75" customHeight="1"/>
    <row r="425" ht="39.75" customHeight="1"/>
    <row r="426" ht="39.75" customHeight="1"/>
    <row r="427" ht="39.75" customHeight="1"/>
    <row r="428" ht="39.75" customHeight="1"/>
    <row r="429" ht="39.75" customHeight="1"/>
    <row r="430" ht="39.75" customHeight="1"/>
    <row r="431" ht="39.75" customHeight="1"/>
    <row r="432" ht="39.75" customHeight="1"/>
    <row r="433" ht="39.75" customHeight="1"/>
    <row r="434" ht="39.75" customHeight="1"/>
    <row r="435" ht="39.75" customHeight="1"/>
    <row r="436" ht="39.75" customHeight="1"/>
    <row r="437" ht="39.75" customHeight="1"/>
    <row r="438" ht="39.75" customHeight="1"/>
    <row r="439" ht="39.75" customHeight="1"/>
    <row r="440" ht="39.75" customHeight="1"/>
    <row r="441" ht="39.75" customHeight="1"/>
    <row r="442" ht="39.75" customHeight="1"/>
    <row r="443" ht="39.75" customHeight="1"/>
    <row r="444" ht="39.75" customHeight="1"/>
    <row r="445" ht="39.75" customHeight="1"/>
    <row r="446" ht="39.75" customHeight="1"/>
    <row r="447" ht="39.75" customHeight="1"/>
    <row r="448" ht="39.75" customHeight="1"/>
    <row r="449" ht="39.75" customHeight="1"/>
    <row r="450" ht="39.75" customHeight="1"/>
    <row r="451" ht="39.75" customHeight="1"/>
    <row r="452" ht="39.75" customHeight="1"/>
    <row r="453" ht="39.75" customHeight="1"/>
    <row r="454" ht="39.75" customHeight="1"/>
    <row r="455" ht="39.75" customHeight="1"/>
    <row r="456" ht="39.75" customHeight="1"/>
    <row r="457" ht="39.75" customHeight="1"/>
    <row r="458" ht="39.75" customHeight="1"/>
    <row r="459" ht="39.75" customHeight="1"/>
    <row r="460" ht="39.75" customHeight="1"/>
    <row r="461" ht="39.75" customHeight="1"/>
    <row r="462" ht="39.75" customHeight="1"/>
    <row r="463" ht="39.75" customHeight="1"/>
    <row r="464" ht="39.75" customHeight="1"/>
    <row r="465" ht="39.75" customHeight="1"/>
    <row r="466" ht="39.75" customHeight="1"/>
    <row r="467" ht="39.75" customHeight="1"/>
    <row r="468" ht="39.75" customHeight="1"/>
    <row r="469" ht="39.75" customHeight="1"/>
    <row r="470" ht="39.75" customHeight="1"/>
    <row r="471" ht="39.75" customHeight="1"/>
    <row r="472" ht="39.75" customHeight="1"/>
    <row r="473" ht="39.75" customHeight="1"/>
    <row r="474" ht="39.75" customHeight="1"/>
    <row r="475" ht="39.75" customHeight="1"/>
    <row r="476" ht="39.75" customHeight="1"/>
    <row r="477" ht="39.75" customHeight="1"/>
    <row r="478" ht="39.75" customHeight="1"/>
    <row r="479" ht="39.75" customHeight="1"/>
    <row r="480" ht="39.75" customHeight="1"/>
    <row r="481" ht="39.75" customHeight="1"/>
    <row r="482" ht="39.75" customHeight="1"/>
    <row r="483" ht="39.75" customHeight="1"/>
    <row r="484" ht="39.75" customHeight="1"/>
    <row r="485" ht="39.75" customHeight="1"/>
    <row r="486" ht="39.75" customHeight="1"/>
    <row r="487" ht="39.75" customHeight="1"/>
    <row r="488" ht="39.75" customHeight="1"/>
    <row r="489" ht="39.75" customHeight="1"/>
    <row r="490" ht="39.75" customHeight="1"/>
    <row r="491" ht="39.75" customHeight="1"/>
    <row r="492" ht="39.75" customHeight="1"/>
    <row r="493" ht="39.75" customHeight="1"/>
    <row r="494" ht="39.75" customHeight="1"/>
    <row r="495" ht="39.75" customHeight="1"/>
    <row r="496" ht="39.75" customHeight="1"/>
    <row r="497" ht="39.75" customHeight="1"/>
    <row r="498" ht="39.75" customHeight="1"/>
    <row r="499" ht="39.75" customHeight="1"/>
    <row r="500" ht="39.75" customHeight="1"/>
    <row r="501" ht="39.75" customHeight="1"/>
    <row r="502" ht="39.75" customHeight="1"/>
    <row r="503" ht="39.75" customHeight="1"/>
    <row r="504" ht="39.75" customHeight="1"/>
    <row r="505" ht="39.75" customHeight="1"/>
    <row r="506" ht="39.75" customHeight="1"/>
    <row r="507" ht="39.75" customHeight="1"/>
    <row r="508" ht="39.75" customHeight="1"/>
    <row r="509" ht="39.75" customHeight="1"/>
    <row r="510" ht="39.75" customHeight="1"/>
    <row r="511" ht="39.75" customHeight="1"/>
    <row r="512" ht="39.75" customHeight="1"/>
    <row r="513" ht="39.75" customHeight="1"/>
    <row r="514" ht="39.75" customHeight="1"/>
    <row r="515" ht="39.75" customHeight="1"/>
    <row r="516" ht="39.75" customHeight="1"/>
    <row r="517" ht="39.75" customHeight="1"/>
    <row r="518" ht="39.75" customHeight="1"/>
    <row r="519" ht="39.75" customHeight="1"/>
    <row r="520" ht="39.75" customHeight="1"/>
    <row r="521" ht="39.75" customHeight="1"/>
    <row r="522" ht="39.75" customHeight="1"/>
    <row r="523" ht="39.75" customHeight="1"/>
    <row r="524" ht="39.75" customHeight="1"/>
    <row r="525" ht="39.75" customHeight="1"/>
    <row r="526" ht="39.75" customHeight="1"/>
    <row r="527" ht="39.75" customHeight="1"/>
    <row r="528" ht="39.75" customHeight="1"/>
    <row r="529" ht="39.75" customHeight="1"/>
    <row r="530" ht="39.75" customHeight="1"/>
    <row r="531" ht="39.75" customHeight="1"/>
    <row r="532" ht="39.75" customHeight="1"/>
    <row r="533" ht="39.75" customHeight="1"/>
    <row r="534" ht="39.75" customHeight="1"/>
    <row r="535" ht="39.75" customHeight="1"/>
    <row r="536" ht="39.75" customHeight="1"/>
    <row r="537" ht="39.75" customHeight="1"/>
    <row r="538" ht="39.75" customHeight="1"/>
    <row r="539" ht="39.75" customHeight="1"/>
    <row r="540" ht="39.75" customHeight="1"/>
    <row r="541" ht="39.75" customHeight="1"/>
    <row r="542" ht="39.75" customHeight="1"/>
    <row r="543" ht="39.75" customHeight="1"/>
    <row r="544" ht="39.75" customHeight="1"/>
    <row r="545" ht="39.75" customHeight="1"/>
    <row r="546" ht="39.75" customHeight="1"/>
    <row r="547" ht="39.75" customHeight="1"/>
    <row r="548" ht="39.75" customHeight="1"/>
    <row r="549" ht="39.75" customHeight="1"/>
    <row r="550" ht="39.75" customHeight="1"/>
    <row r="551" ht="39.75" customHeight="1"/>
    <row r="552" ht="39.75" customHeight="1"/>
    <row r="553" ht="39.75" customHeight="1"/>
    <row r="554" ht="39.75" customHeight="1"/>
    <row r="555" ht="39.75" customHeight="1"/>
    <row r="556" ht="39.75" customHeight="1"/>
    <row r="557" ht="39.75" customHeight="1"/>
    <row r="558" ht="39.75" customHeight="1"/>
    <row r="559" ht="39.75" customHeight="1"/>
    <row r="560" ht="39.75" customHeight="1"/>
    <row r="561" ht="39.75" customHeight="1"/>
    <row r="562" ht="39.75" customHeight="1"/>
    <row r="563" ht="39.75" customHeight="1"/>
    <row r="564" ht="39.75" customHeight="1"/>
    <row r="565" ht="39.75" customHeight="1"/>
    <row r="566" ht="39.75" customHeight="1"/>
    <row r="567" ht="39.75" customHeight="1"/>
    <row r="568" ht="39.75" customHeight="1"/>
    <row r="569" ht="39.75" customHeight="1"/>
    <row r="570" ht="39.75" customHeight="1"/>
    <row r="571" ht="39.75" customHeight="1"/>
    <row r="572" ht="39.75" customHeight="1"/>
    <row r="573" ht="39.75" customHeight="1"/>
    <row r="574" ht="39.75" customHeight="1"/>
    <row r="575" ht="39.75" customHeight="1"/>
    <row r="576" ht="39.75" customHeight="1"/>
    <row r="577" ht="39.75" customHeight="1"/>
    <row r="578" ht="39.75" customHeight="1"/>
    <row r="579" ht="39.75" customHeight="1"/>
    <row r="580" ht="39.75" customHeight="1"/>
    <row r="581" ht="39.75" customHeight="1"/>
    <row r="582" ht="39.75" customHeight="1"/>
    <row r="583" ht="39.75" customHeight="1"/>
    <row r="584" ht="39.75" customHeight="1"/>
    <row r="585" ht="39.75" customHeight="1"/>
    <row r="586" ht="39.75" customHeight="1"/>
    <row r="587" ht="39.75" customHeight="1"/>
    <row r="588" ht="39.75" customHeight="1"/>
    <row r="589" ht="39.75" customHeight="1"/>
    <row r="590" ht="39.75" customHeight="1"/>
    <row r="591" ht="39.75" customHeight="1"/>
    <row r="592" ht="39.75" customHeight="1"/>
    <row r="593" ht="39.75" customHeight="1"/>
    <row r="594" ht="39.75" customHeight="1"/>
    <row r="595" ht="39.75" customHeight="1"/>
    <row r="596" ht="39.75" customHeight="1"/>
    <row r="597" ht="39.75" customHeight="1"/>
    <row r="598" ht="39.75" customHeight="1"/>
    <row r="599" ht="39.75" customHeight="1"/>
    <row r="600" ht="39.75" customHeight="1"/>
    <row r="601" ht="39.75" customHeight="1"/>
    <row r="602" ht="39.75" customHeight="1"/>
    <row r="603" ht="39.75" customHeight="1"/>
    <row r="604" ht="39.75" customHeight="1"/>
    <row r="605" ht="39.75" customHeight="1"/>
    <row r="606" ht="39.75" customHeight="1"/>
    <row r="607" ht="39.75" customHeight="1"/>
    <row r="608" ht="39.75" customHeight="1"/>
    <row r="609" ht="39.75" customHeight="1"/>
    <row r="610" ht="39.75" customHeight="1"/>
    <row r="611" ht="39.75" customHeight="1"/>
    <row r="612" ht="39.75" customHeight="1"/>
    <row r="613" ht="39.75" customHeight="1"/>
    <row r="614" ht="39.75" customHeight="1"/>
    <row r="615" ht="39.75" customHeight="1"/>
    <row r="616" ht="39.75" customHeight="1"/>
    <row r="617" ht="39.75" customHeight="1"/>
    <row r="618" ht="39.75" customHeight="1"/>
    <row r="619" ht="39.75" customHeight="1"/>
    <row r="620" ht="39.75" customHeight="1"/>
    <row r="621" ht="39.75" customHeight="1"/>
    <row r="622" ht="39.75" customHeight="1"/>
    <row r="623" ht="39.75" customHeight="1"/>
    <row r="624" ht="39.75" customHeight="1"/>
    <row r="625" ht="39.75" customHeight="1"/>
    <row r="626" ht="39.75" customHeight="1"/>
    <row r="627" ht="39.75" customHeight="1"/>
    <row r="628" ht="39.75" customHeight="1"/>
    <row r="629" ht="39.75" customHeight="1"/>
    <row r="630" ht="39.75" customHeight="1"/>
    <row r="631" ht="39.75" customHeight="1"/>
    <row r="632" ht="39.75" customHeight="1"/>
    <row r="633" ht="39.75" customHeight="1"/>
    <row r="634" ht="39.75" customHeight="1"/>
    <row r="635" ht="39.75" customHeight="1"/>
    <row r="636" ht="39.75" customHeight="1"/>
    <row r="637" ht="39.75" customHeight="1"/>
    <row r="638" ht="39.75" customHeight="1"/>
    <row r="639" ht="39.75" customHeight="1"/>
    <row r="640" ht="39.75" customHeight="1"/>
    <row r="641" ht="39.75" customHeight="1"/>
    <row r="642" ht="39.75" customHeight="1"/>
    <row r="643" ht="39.75" customHeight="1"/>
    <row r="644" ht="39.75" customHeight="1"/>
    <row r="645" ht="39.75" customHeight="1"/>
    <row r="646" ht="39.75" customHeight="1"/>
    <row r="647" ht="39.75" customHeight="1"/>
    <row r="648" ht="39.75" customHeight="1"/>
    <row r="649" ht="39.75" customHeight="1"/>
    <row r="650" ht="39.75" customHeight="1"/>
    <row r="651" ht="39.75" customHeight="1"/>
    <row r="652" ht="39.75" customHeight="1"/>
    <row r="653" ht="39.75" customHeight="1"/>
    <row r="654" ht="39.75" customHeight="1"/>
    <row r="655" ht="39.75" customHeight="1"/>
    <row r="656" ht="39.75" customHeight="1"/>
    <row r="657" ht="39.75" customHeight="1"/>
    <row r="658" ht="39.75" customHeight="1"/>
    <row r="659" ht="39.75" customHeight="1"/>
    <row r="660" ht="39.75" customHeight="1"/>
    <row r="661" ht="39.75" customHeight="1"/>
    <row r="662" ht="39.75" customHeight="1"/>
    <row r="663" ht="39.75" customHeight="1"/>
    <row r="664" ht="39.75" customHeight="1"/>
    <row r="665" ht="39.75" customHeight="1"/>
    <row r="666" ht="39.75" customHeight="1"/>
    <row r="667" ht="39.75" customHeight="1"/>
    <row r="668" ht="39.75" customHeight="1"/>
    <row r="669" ht="39.75" customHeight="1"/>
    <row r="670" ht="39.75" customHeight="1"/>
    <row r="671" ht="39.75" customHeight="1"/>
    <row r="672" ht="39.75" customHeight="1"/>
    <row r="673" ht="39.75" customHeight="1"/>
    <row r="674" ht="39.75" customHeight="1"/>
    <row r="675" ht="39.75" customHeight="1"/>
    <row r="676" ht="39.75" customHeight="1"/>
    <row r="677" ht="39.75" customHeight="1"/>
    <row r="678" ht="39.75" customHeight="1"/>
    <row r="679" ht="39.75" customHeight="1"/>
    <row r="680" ht="39.75" customHeight="1"/>
    <row r="681" ht="39.75" customHeight="1"/>
    <row r="682" ht="39.75" customHeight="1"/>
    <row r="683" ht="39.75" customHeight="1"/>
    <row r="684" ht="39.75" customHeight="1"/>
    <row r="685" ht="39.75" customHeight="1"/>
    <row r="686" ht="39.75" customHeight="1"/>
    <row r="687" ht="39.75" customHeight="1"/>
    <row r="688" ht="39.75" customHeight="1"/>
    <row r="689" ht="39.75" customHeight="1"/>
    <row r="690" ht="39.75" customHeight="1"/>
    <row r="691" ht="39.75" customHeight="1"/>
    <row r="692" ht="39.75" customHeight="1"/>
    <row r="693" ht="39.75" customHeight="1"/>
    <row r="694" ht="39.75" customHeight="1"/>
    <row r="695" ht="39.75" customHeight="1"/>
    <row r="696" ht="39.75" customHeight="1"/>
    <row r="697" ht="39.75" customHeight="1"/>
    <row r="698" ht="39.75" customHeight="1"/>
    <row r="699" ht="39.75" customHeight="1"/>
    <row r="700" ht="39.75" customHeight="1"/>
    <row r="701" ht="39.75" customHeight="1"/>
    <row r="702" ht="39.75" customHeight="1"/>
    <row r="703" ht="39.75" customHeight="1"/>
    <row r="704" ht="39.75" customHeight="1"/>
    <row r="705" ht="39.75" customHeight="1"/>
    <row r="706" ht="39.75" customHeight="1"/>
    <row r="707" ht="39.75" customHeight="1"/>
    <row r="708" ht="39.75" customHeight="1"/>
    <row r="709" ht="39.75" customHeight="1"/>
    <row r="710" ht="39.75" customHeight="1"/>
    <row r="711" ht="39.75" customHeight="1"/>
    <row r="712" ht="39.75" customHeight="1"/>
    <row r="713" ht="39.75" customHeight="1"/>
    <row r="714" ht="39.75" customHeight="1"/>
    <row r="715" ht="39.75" customHeight="1"/>
    <row r="716" ht="39.75" customHeight="1"/>
    <row r="717" ht="39.75" customHeight="1"/>
    <row r="718" ht="39.75" customHeight="1"/>
    <row r="719" ht="39.75" customHeight="1"/>
    <row r="720" ht="39.75" customHeight="1"/>
    <row r="721" ht="39.75" customHeight="1"/>
    <row r="722" ht="39.75" customHeight="1"/>
    <row r="723" ht="39.75" customHeight="1"/>
    <row r="724" ht="39.75" customHeight="1"/>
    <row r="725" ht="39.75" customHeight="1"/>
    <row r="726" ht="39.75" customHeight="1"/>
    <row r="727" ht="39.75" customHeight="1"/>
    <row r="728" ht="39.75" customHeight="1"/>
    <row r="729" ht="39.75" customHeight="1"/>
    <row r="730" ht="39.75" customHeight="1"/>
    <row r="731" ht="39.75" customHeight="1"/>
    <row r="732" ht="39.75" customHeight="1"/>
    <row r="733" ht="39.75" customHeight="1"/>
    <row r="734" ht="39.75" customHeight="1"/>
    <row r="735" ht="39.75" customHeight="1"/>
    <row r="736" ht="39.75" customHeight="1"/>
    <row r="737" ht="39.75" customHeight="1"/>
    <row r="738" ht="39.75" customHeight="1"/>
    <row r="739" ht="39.75" customHeight="1"/>
    <row r="740" ht="39.75" customHeight="1"/>
    <row r="741" ht="39.75" customHeight="1"/>
    <row r="742" ht="39.75" customHeight="1"/>
    <row r="743" ht="39.75" customHeight="1"/>
    <row r="744" ht="39.75" customHeight="1"/>
    <row r="745" ht="39.75" customHeight="1"/>
    <row r="746" ht="39.75" customHeight="1"/>
    <row r="747" ht="39.75" customHeight="1"/>
    <row r="748" ht="39.75" customHeight="1"/>
    <row r="749" ht="39.75" customHeight="1"/>
    <row r="750" ht="39.75" customHeight="1"/>
    <row r="751" ht="39.75" customHeight="1"/>
    <row r="752" ht="39.75" customHeight="1"/>
    <row r="753" ht="39.75" customHeight="1"/>
    <row r="754" ht="39.75" customHeight="1"/>
    <row r="755" ht="39.75" customHeight="1"/>
    <row r="756" ht="39.75" customHeight="1"/>
    <row r="757" ht="39.75" customHeight="1"/>
    <row r="758" ht="39.75" customHeight="1"/>
    <row r="759" ht="39.75" customHeight="1"/>
    <row r="760" ht="39.75" customHeight="1"/>
    <row r="761" ht="39.75" customHeight="1"/>
    <row r="762" ht="39.75" customHeight="1"/>
    <row r="763" ht="39.75" customHeight="1"/>
    <row r="764" ht="39.75" customHeight="1"/>
    <row r="765" ht="39.75" customHeight="1"/>
    <row r="766" ht="39.75" customHeight="1"/>
    <row r="767" ht="39.75" customHeight="1"/>
    <row r="768" ht="39.75" customHeight="1"/>
    <row r="769" ht="39.75" customHeight="1"/>
    <row r="770" ht="39.75" customHeight="1"/>
    <row r="771" ht="39.75" customHeight="1"/>
    <row r="772" ht="39.75" customHeight="1"/>
    <row r="773" ht="39.75" customHeight="1"/>
    <row r="774" ht="39.75" customHeight="1"/>
    <row r="775" ht="39.75" customHeight="1"/>
    <row r="776" ht="39.75" customHeight="1"/>
    <row r="777" ht="39.75" customHeight="1"/>
    <row r="778" ht="39.75" customHeight="1"/>
    <row r="779" ht="39.75" customHeight="1"/>
    <row r="780" ht="39.75" customHeight="1"/>
    <row r="781" ht="39.75" customHeight="1"/>
    <row r="782" ht="39.75" customHeight="1"/>
    <row r="783" ht="39.75" customHeight="1"/>
    <row r="784" ht="39.75" customHeight="1"/>
    <row r="785" ht="39.75" customHeight="1"/>
    <row r="786" ht="39.75" customHeight="1"/>
    <row r="787" ht="39.75" customHeight="1"/>
    <row r="788" ht="39.75" customHeight="1"/>
    <row r="789" ht="39.75" customHeight="1"/>
    <row r="790" ht="39.75" customHeight="1"/>
    <row r="791" ht="39.75" customHeight="1"/>
    <row r="792" ht="39.75" customHeight="1"/>
    <row r="793" ht="39.75" customHeight="1"/>
    <row r="794" ht="39.75" customHeight="1"/>
    <row r="795" ht="39.75" customHeight="1"/>
    <row r="796" ht="39.75" customHeight="1"/>
    <row r="797" ht="39.75" customHeight="1"/>
    <row r="798" ht="39.75" customHeight="1"/>
    <row r="799" ht="39.75" customHeight="1"/>
    <row r="800" ht="39.75" customHeight="1"/>
    <row r="801" ht="39.75" customHeight="1"/>
    <row r="802" ht="39.75" customHeight="1"/>
    <row r="803" ht="39.75" customHeight="1"/>
    <row r="804" ht="39.75" customHeight="1"/>
    <row r="805" ht="39.75" customHeight="1"/>
    <row r="806" ht="39.75" customHeight="1"/>
    <row r="807" ht="39.75" customHeight="1"/>
    <row r="808" ht="39.75" customHeight="1"/>
    <row r="809" ht="39.75" customHeight="1"/>
    <row r="810" ht="39.75" customHeight="1"/>
    <row r="811" ht="39.75" customHeight="1"/>
    <row r="812" ht="39.75" customHeight="1"/>
    <row r="813" ht="39.75" customHeight="1"/>
    <row r="814" ht="39.75" customHeight="1"/>
    <row r="815" ht="39.75" customHeight="1"/>
    <row r="816" ht="39.75" customHeight="1"/>
    <row r="817" ht="39.75" customHeight="1"/>
    <row r="818" ht="39.75" customHeight="1"/>
    <row r="819" ht="39.75" customHeight="1"/>
    <row r="820" ht="39.75" customHeight="1"/>
    <row r="821" ht="39.75" customHeight="1"/>
    <row r="822" ht="39.75" customHeight="1"/>
    <row r="823" ht="39.75" customHeight="1"/>
    <row r="824" ht="39.75" customHeight="1"/>
    <row r="825" ht="39.75" customHeight="1"/>
    <row r="826" ht="39.75" customHeight="1"/>
    <row r="827" ht="39.75" customHeight="1"/>
    <row r="828" ht="39.75" customHeight="1"/>
    <row r="829" ht="39.75" customHeight="1"/>
    <row r="830" ht="39.75" customHeight="1"/>
    <row r="831" ht="39.75" customHeight="1"/>
    <row r="832" ht="39.75" customHeight="1"/>
    <row r="833" ht="39.75" customHeight="1"/>
    <row r="834" ht="39.75" customHeight="1"/>
    <row r="835" ht="39.75" customHeight="1"/>
    <row r="836" ht="39.75" customHeight="1"/>
    <row r="837" ht="39.75" customHeight="1"/>
    <row r="838" ht="39.75" customHeight="1"/>
    <row r="839" ht="39.75" customHeight="1"/>
    <row r="840" ht="39.75" customHeight="1"/>
    <row r="841" ht="39.75" customHeight="1"/>
    <row r="842" ht="39.75" customHeight="1"/>
    <row r="843" ht="39.75" customHeight="1"/>
    <row r="844" ht="39.75" customHeight="1"/>
    <row r="845" ht="39.75" customHeight="1"/>
    <row r="846" ht="39.75" customHeight="1"/>
    <row r="847" ht="39.75" customHeight="1"/>
    <row r="848" ht="39.75" customHeight="1"/>
    <row r="849" ht="39.75" customHeight="1"/>
    <row r="850" ht="39.75" customHeight="1"/>
    <row r="851" ht="39.75" customHeight="1"/>
    <row r="852" ht="39.75" customHeight="1"/>
    <row r="853" ht="39.75" customHeight="1"/>
    <row r="854" ht="39.75" customHeight="1"/>
    <row r="855" ht="39.75" customHeight="1"/>
    <row r="856" ht="39.75" customHeight="1"/>
    <row r="857" ht="39.75" customHeight="1"/>
    <row r="858" ht="39.75" customHeight="1"/>
    <row r="859" ht="39.75" customHeight="1"/>
    <row r="860" ht="39.75" customHeight="1"/>
    <row r="861" ht="39.75" customHeight="1"/>
    <row r="862" ht="39.75" customHeight="1"/>
    <row r="863" ht="39.75" customHeight="1"/>
    <row r="864" ht="39.75" customHeight="1"/>
    <row r="865" ht="39.75" customHeight="1"/>
    <row r="866" ht="39.75" customHeight="1"/>
    <row r="867" ht="39.75" customHeight="1"/>
    <row r="868" ht="39.75" customHeight="1"/>
    <row r="869" ht="39.75" customHeight="1"/>
    <row r="870" ht="39.75" customHeight="1"/>
    <row r="871" ht="39.75" customHeight="1"/>
    <row r="872" ht="39.75" customHeight="1"/>
    <row r="873" ht="39.75" customHeight="1"/>
    <row r="874" ht="39.75" customHeight="1"/>
    <row r="875" ht="39.75" customHeight="1"/>
    <row r="876" ht="39.75" customHeight="1"/>
    <row r="877" ht="39.75" customHeight="1"/>
    <row r="878" ht="39.75" customHeight="1"/>
    <row r="879" ht="39.75" customHeight="1"/>
    <row r="880" ht="39.75" customHeight="1"/>
    <row r="881" ht="39.75" customHeight="1"/>
    <row r="882" ht="39.75" customHeight="1"/>
    <row r="883" ht="39.75" customHeight="1"/>
    <row r="884" ht="39.75" customHeight="1"/>
    <row r="885" ht="39.75" customHeight="1"/>
    <row r="886" ht="39.75" customHeight="1"/>
    <row r="887" ht="39.75" customHeight="1"/>
    <row r="888" ht="39.75" customHeight="1"/>
    <row r="889" ht="39.75" customHeight="1"/>
    <row r="890" ht="39.75" customHeight="1"/>
    <row r="891" ht="39.75" customHeight="1"/>
    <row r="892" ht="39.75" customHeight="1"/>
    <row r="893" ht="39.75" customHeight="1"/>
    <row r="894" ht="39.75" customHeight="1"/>
    <row r="895" ht="39.75" customHeight="1"/>
    <row r="896" ht="39.75" customHeight="1"/>
    <row r="897" ht="39.75" customHeight="1"/>
    <row r="898" ht="39.75" customHeight="1"/>
    <row r="899" ht="39.75" customHeight="1"/>
    <row r="900" ht="39.75" customHeight="1"/>
    <row r="901" ht="39.75" customHeight="1"/>
    <row r="902" ht="39.75" customHeight="1"/>
    <row r="903" ht="39.75" customHeight="1"/>
    <row r="904" ht="39.75" customHeight="1"/>
    <row r="905" ht="39.75" customHeight="1"/>
    <row r="906" ht="39.75" customHeight="1"/>
    <row r="907" ht="39.75" customHeight="1"/>
    <row r="908" ht="39.75" customHeight="1"/>
    <row r="909" ht="39.75" customHeight="1"/>
    <row r="910" ht="39.75" customHeight="1"/>
    <row r="911" ht="39.75" customHeight="1"/>
    <row r="912" ht="39.75" customHeight="1"/>
    <row r="913" ht="39.75" customHeight="1"/>
    <row r="914" ht="39.75" customHeight="1"/>
    <row r="915" ht="39.75" customHeight="1"/>
    <row r="916" ht="39.75" customHeight="1"/>
    <row r="917" ht="39.75" customHeight="1"/>
    <row r="918" ht="39.75" customHeight="1"/>
    <row r="919" ht="39.75" customHeight="1"/>
    <row r="920" ht="39.75" customHeight="1"/>
    <row r="921" ht="39.75" customHeight="1"/>
    <row r="922" ht="39.75" customHeight="1"/>
    <row r="923" ht="39.75" customHeight="1"/>
    <row r="924" ht="39.75" customHeight="1"/>
    <row r="925" ht="39.75" customHeight="1"/>
    <row r="926" ht="39.75" customHeight="1"/>
    <row r="927" ht="39.75" customHeight="1"/>
    <row r="928" ht="39.75" customHeight="1"/>
    <row r="929" ht="39.75" customHeight="1"/>
    <row r="930" ht="39.75" customHeight="1"/>
    <row r="931" ht="39.75" customHeight="1"/>
    <row r="932" ht="39.75" customHeight="1"/>
    <row r="933" ht="39.75" customHeight="1"/>
    <row r="934" ht="39.75" customHeight="1"/>
    <row r="935" ht="39.75" customHeight="1"/>
    <row r="936" ht="39.75" customHeight="1"/>
    <row r="937" ht="39.75" customHeight="1"/>
    <row r="938" ht="39.75" customHeight="1"/>
    <row r="939" ht="39.75" customHeight="1"/>
    <row r="940" ht="39.75" customHeight="1"/>
    <row r="941" ht="39.75" customHeight="1"/>
    <row r="942" ht="39.75" customHeight="1"/>
    <row r="943" ht="39.75" customHeight="1"/>
    <row r="944" ht="39.75" customHeight="1"/>
    <row r="945" ht="39.75" customHeight="1"/>
    <row r="946" ht="39.75" customHeight="1"/>
    <row r="947" ht="39.75" customHeight="1"/>
    <row r="948" ht="39.75" customHeight="1"/>
    <row r="949" ht="39.75" customHeight="1"/>
    <row r="950" ht="39.75" customHeight="1"/>
    <row r="951" ht="39.75" customHeight="1"/>
    <row r="952" ht="39.75" customHeight="1"/>
    <row r="953" ht="39.75" customHeight="1"/>
    <row r="954" ht="39.75" customHeight="1"/>
    <row r="955" ht="39.75" customHeight="1"/>
    <row r="956" ht="39.75" customHeight="1"/>
    <row r="957" ht="39.75" customHeight="1"/>
    <row r="958" ht="39.75" customHeight="1"/>
    <row r="959" ht="39.75" customHeight="1"/>
    <row r="960" ht="39.75" customHeight="1"/>
    <row r="961" ht="39.75" customHeight="1"/>
    <row r="962" ht="39.75" customHeight="1"/>
    <row r="963" ht="39.75" customHeight="1"/>
    <row r="964" ht="39.75" customHeight="1"/>
    <row r="965" ht="39.75" customHeight="1"/>
    <row r="966" ht="39.75" customHeight="1"/>
    <row r="967" ht="39.75" customHeight="1"/>
    <row r="968" ht="39.75" customHeight="1"/>
    <row r="969" ht="39.75" customHeight="1"/>
    <row r="970" ht="39.75" customHeight="1"/>
    <row r="971" ht="39.75" customHeight="1"/>
    <row r="972" ht="39.75" customHeight="1"/>
    <row r="973" ht="39.75" customHeight="1"/>
    <row r="974" ht="39.75" customHeight="1"/>
    <row r="975" ht="39.75" customHeight="1"/>
    <row r="976" ht="39.75" customHeight="1"/>
    <row r="977" ht="39.75" customHeight="1"/>
    <row r="978" ht="39.75" customHeight="1"/>
    <row r="979" ht="39.75" customHeight="1"/>
    <row r="980" ht="39.75" customHeight="1"/>
    <row r="981" ht="39.75" customHeight="1"/>
    <row r="982" ht="39.75" customHeight="1"/>
    <row r="983" ht="39.75" customHeight="1"/>
    <row r="984" ht="39.75" customHeight="1"/>
    <row r="985" ht="39.75" customHeight="1"/>
    <row r="986" ht="39.75" customHeight="1"/>
    <row r="987" ht="39.75" customHeight="1"/>
    <row r="988" ht="39.75" customHeight="1"/>
    <row r="989" ht="39.75" customHeight="1"/>
    <row r="990" ht="39.75" customHeight="1"/>
    <row r="991" ht="39.75" customHeight="1"/>
    <row r="992" ht="39.75" customHeight="1"/>
    <row r="993" ht="39.75" customHeight="1"/>
    <row r="994" ht="39.75" customHeight="1"/>
    <row r="995" ht="39.75" customHeight="1"/>
    <row r="996" ht="39.75" customHeight="1"/>
    <row r="997" ht="39.75" customHeight="1"/>
    <row r="998" ht="39.75" customHeight="1"/>
    <row r="999" ht="39.75" customHeight="1"/>
    <row r="1000" ht="39.75" customHeight="1"/>
    <row r="1001" ht="39.75" customHeight="1"/>
    <row r="1002" ht="39.75" customHeight="1"/>
    <row r="1003" ht="39.75" customHeight="1"/>
    <row r="1004" ht="39.75" customHeight="1"/>
    <row r="1005" ht="39.75" customHeight="1"/>
    <row r="1006" ht="39.75" customHeight="1"/>
    <row r="1007" ht="39.75" customHeight="1"/>
    <row r="1008" ht="39.75" customHeight="1"/>
    <row r="1009" ht="39.75" customHeight="1"/>
    <row r="1010" ht="39.75" customHeight="1"/>
    <row r="1011" ht="39.75" customHeight="1"/>
    <row r="1012" ht="39.75" customHeight="1"/>
    <row r="1013" ht="39.75" customHeight="1"/>
    <row r="1014" ht="39.75" customHeight="1"/>
    <row r="1015" ht="39.75" customHeight="1"/>
    <row r="1016" ht="39.75" customHeight="1"/>
    <row r="1017" ht="39.75" customHeight="1"/>
    <row r="1018" ht="39.75" customHeight="1"/>
    <row r="1019" ht="39.75" customHeight="1"/>
    <row r="1020" ht="39.75" customHeight="1"/>
    <row r="1021" ht="39.75" customHeight="1"/>
    <row r="1022" ht="39.75" customHeight="1"/>
    <row r="1023" ht="39.75" customHeight="1"/>
    <row r="1024" ht="39.75" customHeight="1"/>
    <row r="1025" ht="39.75" customHeight="1"/>
    <row r="1026" ht="39.75" customHeight="1"/>
    <row r="1027" ht="39.75" customHeight="1"/>
    <row r="1028" ht="39.75" customHeight="1"/>
    <row r="1029" ht="39.75" customHeight="1"/>
    <row r="1030" ht="39.75" customHeight="1"/>
    <row r="1031" ht="39.75" customHeight="1"/>
    <row r="1032" ht="39.75" customHeight="1"/>
    <row r="1033" ht="39.75" customHeight="1"/>
    <row r="1034" ht="39.75" customHeight="1"/>
    <row r="1035" ht="39.75" customHeight="1"/>
    <row r="1036" ht="39.75" customHeight="1"/>
    <row r="1037" ht="39.75" customHeight="1"/>
    <row r="1038" ht="39.75" customHeight="1"/>
    <row r="1039" ht="39.75" customHeight="1"/>
    <row r="1040" ht="39.75" customHeight="1"/>
    <row r="1041" ht="39.75" customHeight="1"/>
    <row r="1042" ht="39.75" customHeight="1"/>
    <row r="1043" ht="39.75" customHeight="1"/>
    <row r="1044" ht="39.75" customHeight="1"/>
    <row r="1045" ht="39.75" customHeight="1"/>
    <row r="1046" ht="39.75" customHeight="1"/>
    <row r="1047" ht="39.75" customHeight="1"/>
    <row r="1048" ht="39.75" customHeight="1"/>
    <row r="1049" ht="39.75" customHeight="1"/>
    <row r="1050" ht="39.75" customHeight="1"/>
  </sheetData>
  <mergeCells count="3">
    <mergeCell ref="B2:E2"/>
    <mergeCell ref="B3:E3"/>
    <mergeCell ref="B4:E4"/>
  </mergeCells>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BCDE-7CEC-46C0-A01C-45380C5E8C94}">
  <dimension ref="A1:I147"/>
  <sheetViews>
    <sheetView tabSelected="1" topLeftCell="A9" zoomScaleNormal="100" workbookViewId="0">
      <selection activeCell="R8" sqref="R8"/>
    </sheetView>
  </sheetViews>
  <sheetFormatPr defaultRowHeight="12.75"/>
  <cols>
    <col min="1" max="1" width="26.7109375" customWidth="1"/>
    <col min="2" max="2" width="50.28515625" customWidth="1"/>
    <col min="3" max="3" width="30" customWidth="1"/>
    <col min="4" max="4" width="31" customWidth="1"/>
    <col min="5" max="5" width="30" customWidth="1"/>
    <col min="6" max="6" width="21.42578125" customWidth="1"/>
    <col min="7" max="7" width="20" customWidth="1"/>
    <col min="8" max="8" width="18" customWidth="1"/>
    <col min="9" max="9" width="23" customWidth="1"/>
  </cols>
  <sheetData>
    <row r="1" spans="1:9" ht="49.5" customHeight="1">
      <c r="A1" s="152" t="s">
        <v>1053</v>
      </c>
      <c r="B1" s="152" t="s">
        <v>1054</v>
      </c>
      <c r="C1" s="152" t="s">
        <v>1055</v>
      </c>
      <c r="D1" s="152" t="s">
        <v>1056</v>
      </c>
      <c r="E1" s="152" t="s">
        <v>1057</v>
      </c>
      <c r="F1" s="152" t="s">
        <v>1058</v>
      </c>
      <c r="G1" s="152" t="s">
        <v>1059</v>
      </c>
      <c r="H1" s="152" t="s">
        <v>1060</v>
      </c>
      <c r="I1" s="152" t="s">
        <v>1061</v>
      </c>
    </row>
    <row r="2" spans="1:9" ht="109.5" customHeight="1">
      <c r="A2" s="153" t="s">
        <v>1062</v>
      </c>
      <c r="B2" s="154" t="s">
        <v>1063</v>
      </c>
      <c r="C2" s="153" t="s">
        <v>1064</v>
      </c>
      <c r="D2" s="154" t="s">
        <v>1065</v>
      </c>
      <c r="E2" s="154" t="s">
        <v>1066</v>
      </c>
      <c r="F2" s="153" t="s">
        <v>377</v>
      </c>
      <c r="G2" s="153" t="s">
        <v>1638</v>
      </c>
      <c r="H2" s="155" t="s">
        <v>36</v>
      </c>
      <c r="I2" s="156">
        <v>46178</v>
      </c>
    </row>
    <row r="3" spans="1:9" ht="122.25" customHeight="1">
      <c r="A3" s="153" t="s">
        <v>1067</v>
      </c>
      <c r="B3" s="154" t="s">
        <v>1068</v>
      </c>
      <c r="C3" s="153" t="s">
        <v>1064</v>
      </c>
      <c r="D3" s="154" t="s">
        <v>1069</v>
      </c>
      <c r="E3" s="154" t="s">
        <v>1070</v>
      </c>
      <c r="F3" s="153" t="s">
        <v>377</v>
      </c>
      <c r="G3" s="153" t="s">
        <v>1638</v>
      </c>
      <c r="H3" s="155" t="s">
        <v>36</v>
      </c>
      <c r="I3" s="156">
        <v>46178</v>
      </c>
    </row>
    <row r="4" spans="1:9" ht="117.75" customHeight="1">
      <c r="A4" s="153" t="s">
        <v>1071</v>
      </c>
      <c r="B4" s="154" t="s">
        <v>1072</v>
      </c>
      <c r="C4" s="153" t="s">
        <v>1064</v>
      </c>
      <c r="D4" s="154" t="s">
        <v>1073</v>
      </c>
      <c r="E4" s="154" t="s">
        <v>1074</v>
      </c>
      <c r="F4" s="153" t="s">
        <v>377</v>
      </c>
      <c r="G4" s="153" t="s">
        <v>1638</v>
      </c>
      <c r="H4" s="155" t="s">
        <v>36</v>
      </c>
      <c r="I4" s="156">
        <v>46178</v>
      </c>
    </row>
    <row r="5" spans="1:9" ht="116.25" customHeight="1">
      <c r="A5" s="153" t="s">
        <v>1075</v>
      </c>
      <c r="B5" s="154" t="s">
        <v>1076</v>
      </c>
      <c r="C5" s="153" t="s">
        <v>1064</v>
      </c>
      <c r="D5" s="154" t="s">
        <v>1077</v>
      </c>
      <c r="E5" s="154" t="s">
        <v>1078</v>
      </c>
      <c r="F5" s="153" t="s">
        <v>377</v>
      </c>
      <c r="G5" s="153" t="s">
        <v>1638</v>
      </c>
      <c r="H5" s="155" t="s">
        <v>36</v>
      </c>
      <c r="I5" s="156">
        <v>46178</v>
      </c>
    </row>
    <row r="6" spans="1:9" ht="129" customHeight="1">
      <c r="A6" s="153" t="s">
        <v>1079</v>
      </c>
      <c r="B6" s="154" t="s">
        <v>1080</v>
      </c>
      <c r="C6" s="153" t="s">
        <v>1064</v>
      </c>
      <c r="D6" s="154" t="s">
        <v>1081</v>
      </c>
      <c r="E6" s="154" t="s">
        <v>1082</v>
      </c>
      <c r="F6" s="153" t="s">
        <v>377</v>
      </c>
      <c r="G6" s="153" t="s">
        <v>1638</v>
      </c>
      <c r="H6" s="155" t="s">
        <v>36</v>
      </c>
      <c r="I6" s="156">
        <v>46178</v>
      </c>
    </row>
    <row r="7" spans="1:9" ht="133.5" customHeight="1">
      <c r="A7" s="153" t="s">
        <v>1083</v>
      </c>
      <c r="B7" s="154" t="s">
        <v>1084</v>
      </c>
      <c r="C7" s="153" t="s">
        <v>1064</v>
      </c>
      <c r="D7" s="154" t="s">
        <v>1085</v>
      </c>
      <c r="E7" s="154" t="s">
        <v>1086</v>
      </c>
      <c r="F7" s="153" t="s">
        <v>377</v>
      </c>
      <c r="G7" s="153" t="s">
        <v>1638</v>
      </c>
      <c r="H7" s="155" t="s">
        <v>36</v>
      </c>
      <c r="I7" s="156">
        <v>46178</v>
      </c>
    </row>
    <row r="8" spans="1:9" ht="128.25" customHeight="1">
      <c r="A8" s="153" t="s">
        <v>1087</v>
      </c>
      <c r="B8" s="154" t="s">
        <v>1088</v>
      </c>
      <c r="C8" s="153" t="s">
        <v>1064</v>
      </c>
      <c r="D8" s="154" t="s">
        <v>1089</v>
      </c>
      <c r="E8" s="154" t="s">
        <v>1090</v>
      </c>
      <c r="F8" s="153" t="s">
        <v>377</v>
      </c>
      <c r="G8" s="153" t="s">
        <v>1638</v>
      </c>
      <c r="H8" s="155" t="s">
        <v>36</v>
      </c>
      <c r="I8" s="156">
        <v>46178</v>
      </c>
    </row>
    <row r="9" spans="1:9" ht="129.75" customHeight="1">
      <c r="A9" s="153" t="s">
        <v>1091</v>
      </c>
      <c r="B9" s="154" t="s">
        <v>1092</v>
      </c>
      <c r="C9" s="153" t="s">
        <v>1064</v>
      </c>
      <c r="D9" s="154" t="s">
        <v>1093</v>
      </c>
      <c r="E9" s="154" t="s">
        <v>1094</v>
      </c>
      <c r="F9" s="153" t="s">
        <v>377</v>
      </c>
      <c r="G9" s="153" t="s">
        <v>1638</v>
      </c>
      <c r="H9" s="155" t="s">
        <v>36</v>
      </c>
      <c r="I9" s="156">
        <v>46178</v>
      </c>
    </row>
    <row r="10" spans="1:9" ht="135" customHeight="1">
      <c r="A10" s="153" t="s">
        <v>1095</v>
      </c>
      <c r="B10" s="154" t="s">
        <v>1096</v>
      </c>
      <c r="C10" s="153" t="s">
        <v>1064</v>
      </c>
      <c r="D10" s="154" t="s">
        <v>1097</v>
      </c>
      <c r="E10" s="154" t="s">
        <v>1098</v>
      </c>
      <c r="F10" s="153" t="s">
        <v>377</v>
      </c>
      <c r="G10" s="153" t="s">
        <v>1638</v>
      </c>
      <c r="H10" s="155" t="s">
        <v>36</v>
      </c>
      <c r="I10" s="156">
        <v>46178</v>
      </c>
    </row>
    <row r="11" spans="1:9" ht="135" customHeight="1">
      <c r="A11" s="153" t="s">
        <v>1099</v>
      </c>
      <c r="B11" s="154" t="s">
        <v>1100</v>
      </c>
      <c r="C11" s="153" t="s">
        <v>1064</v>
      </c>
      <c r="D11" s="154" t="s">
        <v>1101</v>
      </c>
      <c r="E11" s="154" t="s">
        <v>1098</v>
      </c>
      <c r="F11" s="153" t="s">
        <v>377</v>
      </c>
      <c r="G11" s="153" t="s">
        <v>1638</v>
      </c>
      <c r="H11" s="155" t="s">
        <v>36</v>
      </c>
      <c r="I11" s="156">
        <v>46178</v>
      </c>
    </row>
    <row r="12" spans="1:9" ht="117.75" customHeight="1">
      <c r="A12" s="153" t="s">
        <v>1102</v>
      </c>
      <c r="B12" s="154" t="s">
        <v>1103</v>
      </c>
      <c r="C12" s="153" t="s">
        <v>1064</v>
      </c>
      <c r="D12" s="154" t="s">
        <v>1104</v>
      </c>
      <c r="E12" s="154" t="s">
        <v>1070</v>
      </c>
      <c r="F12" s="153" t="s">
        <v>377</v>
      </c>
      <c r="G12" s="153" t="s">
        <v>1638</v>
      </c>
      <c r="H12" s="155" t="s">
        <v>36</v>
      </c>
      <c r="I12" s="156">
        <v>46178</v>
      </c>
    </row>
    <row r="13" spans="1:9" ht="115.5" customHeight="1">
      <c r="A13" s="153" t="s">
        <v>1105</v>
      </c>
      <c r="B13" s="154" t="s">
        <v>1106</v>
      </c>
      <c r="C13" s="153" t="s">
        <v>1064</v>
      </c>
      <c r="D13" s="154" t="s">
        <v>1107</v>
      </c>
      <c r="E13" s="154" t="s">
        <v>1078</v>
      </c>
      <c r="F13" s="153" t="s">
        <v>377</v>
      </c>
      <c r="G13" s="153" t="s">
        <v>1638</v>
      </c>
      <c r="H13" s="155" t="s">
        <v>36</v>
      </c>
      <c r="I13" s="156">
        <v>46178</v>
      </c>
    </row>
    <row r="14" spans="1:9" ht="115.5" customHeight="1">
      <c r="A14" s="153" t="s">
        <v>1108</v>
      </c>
      <c r="B14" s="154" t="s">
        <v>1109</v>
      </c>
      <c r="C14" s="153" t="s">
        <v>1064</v>
      </c>
      <c r="D14" s="154" t="s">
        <v>1110</v>
      </c>
      <c r="E14" s="154" t="s">
        <v>1111</v>
      </c>
      <c r="F14" s="153" t="s">
        <v>377</v>
      </c>
      <c r="G14" s="153" t="s">
        <v>1638</v>
      </c>
      <c r="H14" s="155" t="s">
        <v>36</v>
      </c>
      <c r="I14" s="156">
        <v>46178</v>
      </c>
    </row>
    <row r="15" spans="1:9" ht="179.25" customHeight="1">
      <c r="A15" s="153" t="s">
        <v>1112</v>
      </c>
      <c r="B15" s="154" t="s">
        <v>1113</v>
      </c>
      <c r="C15" s="153" t="s">
        <v>1114</v>
      </c>
      <c r="D15" s="154" t="s">
        <v>1115</v>
      </c>
      <c r="E15" s="154" t="s">
        <v>1116</v>
      </c>
      <c r="F15" s="153" t="s">
        <v>377</v>
      </c>
      <c r="G15" s="153" t="s">
        <v>1638</v>
      </c>
      <c r="H15" s="155" t="s">
        <v>36</v>
      </c>
      <c r="I15" s="156">
        <v>46178</v>
      </c>
    </row>
    <row r="16" spans="1:9" ht="96" customHeight="1">
      <c r="A16" s="153" t="s">
        <v>1117</v>
      </c>
      <c r="B16" s="154" t="s">
        <v>1118</v>
      </c>
      <c r="C16" s="153" t="s">
        <v>1114</v>
      </c>
      <c r="D16" s="154" t="s">
        <v>1119</v>
      </c>
      <c r="E16" s="154" t="s">
        <v>1120</v>
      </c>
      <c r="F16" s="153" t="s">
        <v>377</v>
      </c>
      <c r="G16" s="153" t="s">
        <v>1638</v>
      </c>
      <c r="H16" s="155" t="s">
        <v>36</v>
      </c>
      <c r="I16" s="156">
        <v>46178</v>
      </c>
    </row>
    <row r="17" spans="1:9" ht="129.75" customHeight="1">
      <c r="A17" s="153" t="s">
        <v>1121</v>
      </c>
      <c r="B17" s="154" t="s">
        <v>1122</v>
      </c>
      <c r="C17" s="153" t="s">
        <v>1114</v>
      </c>
      <c r="D17" s="154" t="s">
        <v>1123</v>
      </c>
      <c r="E17" s="154" t="s">
        <v>1124</v>
      </c>
      <c r="F17" s="153" t="s">
        <v>377</v>
      </c>
      <c r="G17" s="153" t="s">
        <v>1638</v>
      </c>
      <c r="H17" s="155" t="s">
        <v>36</v>
      </c>
      <c r="I17" s="156">
        <v>46178</v>
      </c>
    </row>
    <row r="18" spans="1:9" ht="96" customHeight="1">
      <c r="A18" s="153" t="s">
        <v>1125</v>
      </c>
      <c r="B18" s="154" t="s">
        <v>1126</v>
      </c>
      <c r="C18" s="153" t="s">
        <v>1114</v>
      </c>
      <c r="D18" s="154" t="s">
        <v>1127</v>
      </c>
      <c r="E18" s="154" t="s">
        <v>1128</v>
      </c>
      <c r="F18" s="153" t="s">
        <v>377</v>
      </c>
      <c r="G18" s="153" t="s">
        <v>1638</v>
      </c>
      <c r="H18" s="155" t="s">
        <v>36</v>
      </c>
      <c r="I18" s="156">
        <v>46178</v>
      </c>
    </row>
    <row r="19" spans="1:9" ht="121.5" customHeight="1">
      <c r="A19" s="153" t="s">
        <v>1129</v>
      </c>
      <c r="B19" s="154" t="s">
        <v>1130</v>
      </c>
      <c r="C19" s="153" t="s">
        <v>1114</v>
      </c>
      <c r="D19" s="154" t="s">
        <v>1131</v>
      </c>
      <c r="E19" s="154" t="s">
        <v>1132</v>
      </c>
      <c r="F19" s="153" t="s">
        <v>377</v>
      </c>
      <c r="G19" s="153" t="s">
        <v>1638</v>
      </c>
      <c r="H19" s="155" t="s">
        <v>37</v>
      </c>
      <c r="I19" s="156">
        <v>46178</v>
      </c>
    </row>
    <row r="20" spans="1:9" ht="128.25" customHeight="1">
      <c r="A20" s="153" t="s">
        <v>1133</v>
      </c>
      <c r="B20" s="154" t="s">
        <v>1134</v>
      </c>
      <c r="C20" s="153" t="s">
        <v>1114</v>
      </c>
      <c r="D20" s="154" t="s">
        <v>1135</v>
      </c>
      <c r="E20" s="154" t="s">
        <v>1136</v>
      </c>
      <c r="F20" s="153" t="s">
        <v>377</v>
      </c>
      <c r="G20" s="153" t="s">
        <v>1638</v>
      </c>
      <c r="H20" s="155" t="s">
        <v>36</v>
      </c>
      <c r="I20" s="156">
        <v>46178</v>
      </c>
    </row>
    <row r="21" spans="1:9" ht="114.75" customHeight="1">
      <c r="A21" s="153" t="s">
        <v>1137</v>
      </c>
      <c r="B21" s="154" t="s">
        <v>1138</v>
      </c>
      <c r="C21" s="153" t="s">
        <v>1114</v>
      </c>
      <c r="D21" s="154" t="s">
        <v>1139</v>
      </c>
      <c r="E21" s="154" t="s">
        <v>1140</v>
      </c>
      <c r="F21" s="153" t="s">
        <v>377</v>
      </c>
      <c r="G21" s="153" t="s">
        <v>1638</v>
      </c>
      <c r="H21" s="155" t="s">
        <v>36</v>
      </c>
      <c r="I21" s="156">
        <v>46178</v>
      </c>
    </row>
    <row r="22" spans="1:9" ht="117" customHeight="1">
      <c r="A22" s="153" t="s">
        <v>1141</v>
      </c>
      <c r="B22" s="154" t="s">
        <v>1142</v>
      </c>
      <c r="C22" s="153" t="s">
        <v>1114</v>
      </c>
      <c r="D22" s="154" t="s">
        <v>1143</v>
      </c>
      <c r="E22" s="154" t="s">
        <v>1140</v>
      </c>
      <c r="F22" s="153" t="s">
        <v>377</v>
      </c>
      <c r="G22" s="153" t="s">
        <v>1638</v>
      </c>
      <c r="H22" s="155" t="s">
        <v>36</v>
      </c>
      <c r="I22" s="156">
        <v>46178</v>
      </c>
    </row>
    <row r="23" spans="1:9" ht="120" customHeight="1">
      <c r="A23" s="153" t="s">
        <v>1144</v>
      </c>
      <c r="B23" s="154" t="s">
        <v>1145</v>
      </c>
      <c r="C23" s="153" t="s">
        <v>1114</v>
      </c>
      <c r="D23" s="154" t="s">
        <v>1146</v>
      </c>
      <c r="E23" s="154" t="s">
        <v>1147</v>
      </c>
      <c r="F23" s="153" t="s">
        <v>377</v>
      </c>
      <c r="G23" s="153" t="s">
        <v>1638</v>
      </c>
      <c r="H23" s="155" t="s">
        <v>36</v>
      </c>
      <c r="I23" s="156">
        <v>46178</v>
      </c>
    </row>
    <row r="24" spans="1:9" ht="145.5" customHeight="1">
      <c r="A24" s="153" t="s">
        <v>1148</v>
      </c>
      <c r="B24" s="154" t="s">
        <v>1149</v>
      </c>
      <c r="C24" s="153" t="s">
        <v>1114</v>
      </c>
      <c r="D24" s="154" t="s">
        <v>1150</v>
      </c>
      <c r="E24" s="154" t="s">
        <v>1151</v>
      </c>
      <c r="F24" s="153" t="s">
        <v>377</v>
      </c>
      <c r="G24" s="153" t="s">
        <v>1638</v>
      </c>
      <c r="H24" s="155" t="s">
        <v>36</v>
      </c>
      <c r="I24" s="156">
        <v>46178</v>
      </c>
    </row>
    <row r="25" spans="1:9" ht="127.5" customHeight="1">
      <c r="A25" s="153" t="s">
        <v>1152</v>
      </c>
      <c r="B25" s="154" t="s">
        <v>1153</v>
      </c>
      <c r="C25" s="153" t="s">
        <v>1114</v>
      </c>
      <c r="D25" s="154" t="s">
        <v>1154</v>
      </c>
      <c r="E25" s="154" t="s">
        <v>1155</v>
      </c>
      <c r="F25" s="153" t="s">
        <v>377</v>
      </c>
      <c r="G25" s="153" t="s">
        <v>1638</v>
      </c>
      <c r="H25" s="155" t="s">
        <v>36</v>
      </c>
      <c r="I25" s="156">
        <v>46178</v>
      </c>
    </row>
    <row r="26" spans="1:9" ht="93.75" customHeight="1">
      <c r="A26" s="153" t="s">
        <v>1156</v>
      </c>
      <c r="B26" s="154" t="s">
        <v>1157</v>
      </c>
      <c r="C26" s="153" t="s">
        <v>1114</v>
      </c>
      <c r="D26" s="154" t="s">
        <v>1158</v>
      </c>
      <c r="E26" s="154" t="s">
        <v>1159</v>
      </c>
      <c r="F26" s="153" t="s">
        <v>377</v>
      </c>
      <c r="G26" s="153" t="s">
        <v>1638</v>
      </c>
      <c r="H26" s="155" t="s">
        <v>36</v>
      </c>
      <c r="I26" s="156">
        <v>46178</v>
      </c>
    </row>
    <row r="27" spans="1:9" ht="99.75" customHeight="1">
      <c r="A27" s="153" t="s">
        <v>1160</v>
      </c>
      <c r="B27" s="154" t="s">
        <v>1161</v>
      </c>
      <c r="C27" s="153" t="s">
        <v>1114</v>
      </c>
      <c r="D27" s="154" t="s">
        <v>1162</v>
      </c>
      <c r="E27" s="154" t="s">
        <v>1163</v>
      </c>
      <c r="F27" s="153" t="s">
        <v>377</v>
      </c>
      <c r="G27" s="153" t="s">
        <v>1638</v>
      </c>
      <c r="H27" s="155" t="s">
        <v>36</v>
      </c>
      <c r="I27" s="156">
        <v>46178</v>
      </c>
    </row>
    <row r="28" spans="1:9" ht="152.25" customHeight="1">
      <c r="A28" s="153" t="s">
        <v>1164</v>
      </c>
      <c r="B28" s="154" t="s">
        <v>1165</v>
      </c>
      <c r="C28" s="153" t="s">
        <v>1114</v>
      </c>
      <c r="D28" s="154" t="s">
        <v>1166</v>
      </c>
      <c r="E28" s="154" t="s">
        <v>1167</v>
      </c>
      <c r="F28" s="153" t="s">
        <v>377</v>
      </c>
      <c r="G28" s="153" t="s">
        <v>1638</v>
      </c>
      <c r="H28" s="155" t="s">
        <v>37</v>
      </c>
      <c r="I28" s="156">
        <v>46178</v>
      </c>
    </row>
    <row r="29" spans="1:9" ht="160.5" customHeight="1">
      <c r="A29" s="153" t="s">
        <v>1168</v>
      </c>
      <c r="B29" s="154" t="s">
        <v>1169</v>
      </c>
      <c r="C29" s="153" t="s">
        <v>1114</v>
      </c>
      <c r="D29" s="154" t="s">
        <v>1170</v>
      </c>
      <c r="E29" s="154" t="s">
        <v>1171</v>
      </c>
      <c r="F29" s="153" t="s">
        <v>377</v>
      </c>
      <c r="G29" s="153" t="s">
        <v>1638</v>
      </c>
      <c r="H29" s="155" t="s">
        <v>36</v>
      </c>
      <c r="I29" s="156">
        <v>46178</v>
      </c>
    </row>
    <row r="30" spans="1:9" ht="145.5" customHeight="1">
      <c r="A30" s="153" t="s">
        <v>1172</v>
      </c>
      <c r="B30" s="154" t="s">
        <v>1173</v>
      </c>
      <c r="C30" s="153" t="s">
        <v>1114</v>
      </c>
      <c r="D30" s="154" t="s">
        <v>1174</v>
      </c>
      <c r="E30" s="154" t="s">
        <v>1175</v>
      </c>
      <c r="F30" s="153" t="s">
        <v>377</v>
      </c>
      <c r="G30" s="153" t="s">
        <v>1638</v>
      </c>
      <c r="H30" s="155" t="s">
        <v>36</v>
      </c>
      <c r="I30" s="156">
        <v>46178</v>
      </c>
    </row>
    <row r="31" spans="1:9" ht="144.75" customHeight="1">
      <c r="A31" s="153" t="s">
        <v>1176</v>
      </c>
      <c r="B31" s="154" t="s">
        <v>1177</v>
      </c>
      <c r="C31" s="153" t="s">
        <v>1114</v>
      </c>
      <c r="D31" s="154" t="s">
        <v>1178</v>
      </c>
      <c r="E31" s="154" t="s">
        <v>1179</v>
      </c>
      <c r="F31" s="153" t="s">
        <v>377</v>
      </c>
      <c r="G31" s="153" t="s">
        <v>1638</v>
      </c>
      <c r="H31" s="155" t="s">
        <v>36</v>
      </c>
      <c r="I31" s="156">
        <v>46178</v>
      </c>
    </row>
    <row r="32" spans="1:9" ht="150.75" customHeight="1">
      <c r="A32" s="153" t="s">
        <v>1180</v>
      </c>
      <c r="B32" s="154" t="s">
        <v>1181</v>
      </c>
      <c r="C32" s="153" t="s">
        <v>1114</v>
      </c>
      <c r="D32" s="154" t="s">
        <v>1182</v>
      </c>
      <c r="E32" s="154" t="s">
        <v>1183</v>
      </c>
      <c r="F32" s="153" t="s">
        <v>377</v>
      </c>
      <c r="G32" s="153" t="s">
        <v>1638</v>
      </c>
      <c r="H32" s="155" t="s">
        <v>36</v>
      </c>
      <c r="I32" s="156">
        <v>46178</v>
      </c>
    </row>
    <row r="33" spans="1:9" ht="153.75" customHeight="1">
      <c r="A33" s="153" t="s">
        <v>1184</v>
      </c>
      <c r="B33" s="154" t="s">
        <v>1185</v>
      </c>
      <c r="C33" s="153" t="s">
        <v>1114</v>
      </c>
      <c r="D33" s="154" t="s">
        <v>1186</v>
      </c>
      <c r="E33" s="154" t="s">
        <v>1187</v>
      </c>
      <c r="F33" s="153" t="s">
        <v>377</v>
      </c>
      <c r="G33" s="153" t="s">
        <v>1638</v>
      </c>
      <c r="H33" s="155" t="s">
        <v>36</v>
      </c>
      <c r="I33" s="156">
        <v>46178</v>
      </c>
    </row>
    <row r="34" spans="1:9" ht="129" customHeight="1">
      <c r="A34" s="153" t="s">
        <v>1188</v>
      </c>
      <c r="B34" s="154" t="s">
        <v>1189</v>
      </c>
      <c r="C34" s="153" t="s">
        <v>1114</v>
      </c>
      <c r="D34" s="154" t="s">
        <v>1190</v>
      </c>
      <c r="E34" s="154" t="s">
        <v>1191</v>
      </c>
      <c r="F34" s="153" t="s">
        <v>377</v>
      </c>
      <c r="G34" s="153" t="s">
        <v>1638</v>
      </c>
      <c r="H34" s="155" t="s">
        <v>36</v>
      </c>
      <c r="I34" s="156">
        <v>46178</v>
      </c>
    </row>
    <row r="35" spans="1:9" ht="149.25" customHeight="1">
      <c r="A35" s="153" t="s">
        <v>1192</v>
      </c>
      <c r="B35" s="154" t="s">
        <v>1193</v>
      </c>
      <c r="C35" s="153" t="s">
        <v>1114</v>
      </c>
      <c r="D35" s="154" t="s">
        <v>1194</v>
      </c>
      <c r="E35" s="154" t="s">
        <v>1195</v>
      </c>
      <c r="F35" s="153" t="s">
        <v>377</v>
      </c>
      <c r="G35" s="153" t="s">
        <v>1638</v>
      </c>
      <c r="H35" s="155" t="s">
        <v>36</v>
      </c>
      <c r="I35" s="156">
        <v>46178</v>
      </c>
    </row>
    <row r="36" spans="1:9" ht="161.25" customHeight="1">
      <c r="A36" s="153" t="s">
        <v>1196</v>
      </c>
      <c r="B36" s="154" t="s">
        <v>1197</v>
      </c>
      <c r="C36" s="153" t="s">
        <v>1114</v>
      </c>
      <c r="D36" s="154" t="s">
        <v>1198</v>
      </c>
      <c r="E36" s="154" t="s">
        <v>1199</v>
      </c>
      <c r="F36" s="153" t="s">
        <v>377</v>
      </c>
      <c r="G36" s="153" t="s">
        <v>1638</v>
      </c>
      <c r="H36" s="155" t="s">
        <v>37</v>
      </c>
      <c r="I36" s="156">
        <v>46178</v>
      </c>
    </row>
    <row r="37" spans="1:9" ht="138.75" customHeight="1">
      <c r="A37" s="153" t="s">
        <v>1200</v>
      </c>
      <c r="B37" s="154" t="s">
        <v>1201</v>
      </c>
      <c r="C37" s="153" t="s">
        <v>1114</v>
      </c>
      <c r="D37" s="154" t="s">
        <v>1202</v>
      </c>
      <c r="E37" s="154" t="s">
        <v>1203</v>
      </c>
      <c r="F37" s="153" t="s">
        <v>377</v>
      </c>
      <c r="G37" s="153" t="s">
        <v>1638</v>
      </c>
      <c r="H37" s="155" t="s">
        <v>36</v>
      </c>
      <c r="I37" s="156">
        <v>46178</v>
      </c>
    </row>
    <row r="38" spans="1:9" ht="153.75" customHeight="1">
      <c r="A38" s="153" t="s">
        <v>1204</v>
      </c>
      <c r="B38" s="154" t="s">
        <v>1205</v>
      </c>
      <c r="C38" s="153" t="s">
        <v>1114</v>
      </c>
      <c r="D38" s="154" t="s">
        <v>1206</v>
      </c>
      <c r="E38" s="154" t="s">
        <v>1207</v>
      </c>
      <c r="F38" s="153" t="s">
        <v>377</v>
      </c>
      <c r="G38" s="153" t="s">
        <v>1638</v>
      </c>
      <c r="H38" s="155" t="s">
        <v>36</v>
      </c>
      <c r="I38" s="156">
        <v>46178</v>
      </c>
    </row>
    <row r="39" spans="1:9" ht="120.75" customHeight="1">
      <c r="A39" s="153" t="s">
        <v>1208</v>
      </c>
      <c r="B39" s="154" t="s">
        <v>1209</v>
      </c>
      <c r="C39" s="153" t="s">
        <v>1114</v>
      </c>
      <c r="D39" s="154" t="s">
        <v>1210</v>
      </c>
      <c r="E39" s="154" t="s">
        <v>1211</v>
      </c>
      <c r="F39" s="153" t="s">
        <v>377</v>
      </c>
      <c r="G39" s="153" t="s">
        <v>1638</v>
      </c>
      <c r="H39" s="155" t="s">
        <v>37</v>
      </c>
      <c r="I39" s="156">
        <v>46178</v>
      </c>
    </row>
    <row r="40" spans="1:9" ht="111.75" customHeight="1">
      <c r="A40" s="153" t="s">
        <v>1212</v>
      </c>
      <c r="B40" s="154" t="s">
        <v>1213</v>
      </c>
      <c r="C40" s="153" t="s">
        <v>1114</v>
      </c>
      <c r="D40" s="154" t="s">
        <v>1214</v>
      </c>
      <c r="E40" s="154" t="s">
        <v>1215</v>
      </c>
      <c r="F40" s="153" t="s">
        <v>377</v>
      </c>
      <c r="G40" s="153" t="s">
        <v>1638</v>
      </c>
      <c r="H40" s="155" t="s">
        <v>36</v>
      </c>
      <c r="I40" s="156">
        <v>46178</v>
      </c>
    </row>
    <row r="41" spans="1:9" ht="105" customHeight="1">
      <c r="A41" s="153" t="s">
        <v>1216</v>
      </c>
      <c r="B41" s="154" t="s">
        <v>1217</v>
      </c>
      <c r="C41" s="153" t="s">
        <v>1114</v>
      </c>
      <c r="D41" s="154" t="s">
        <v>1218</v>
      </c>
      <c r="E41" s="154" t="s">
        <v>1219</v>
      </c>
      <c r="F41" s="153" t="s">
        <v>377</v>
      </c>
      <c r="G41" s="153" t="s">
        <v>1638</v>
      </c>
      <c r="H41" s="155" t="s">
        <v>36</v>
      </c>
      <c r="I41" s="156">
        <v>46178</v>
      </c>
    </row>
    <row r="42" spans="1:9" ht="110.25" customHeight="1">
      <c r="A42" s="153" t="s">
        <v>1220</v>
      </c>
      <c r="B42" s="154" t="s">
        <v>1221</v>
      </c>
      <c r="C42" s="153" t="s">
        <v>1114</v>
      </c>
      <c r="D42" s="154" t="s">
        <v>1222</v>
      </c>
      <c r="E42" s="154" t="s">
        <v>1223</v>
      </c>
      <c r="F42" s="153" t="s">
        <v>377</v>
      </c>
      <c r="G42" s="153" t="s">
        <v>1638</v>
      </c>
      <c r="H42" s="155" t="s">
        <v>37</v>
      </c>
      <c r="I42" s="156">
        <v>46178</v>
      </c>
    </row>
    <row r="43" spans="1:9" ht="106.5" customHeight="1">
      <c r="A43" s="153" t="s">
        <v>1224</v>
      </c>
      <c r="B43" s="154" t="s">
        <v>1225</v>
      </c>
      <c r="C43" s="153" t="s">
        <v>1114</v>
      </c>
      <c r="D43" s="154" t="s">
        <v>1226</v>
      </c>
      <c r="E43" s="154" t="s">
        <v>1227</v>
      </c>
      <c r="F43" s="153" t="s">
        <v>377</v>
      </c>
      <c r="G43" s="153" t="s">
        <v>1638</v>
      </c>
      <c r="H43" s="155" t="s">
        <v>37</v>
      </c>
      <c r="I43" s="156">
        <v>46178</v>
      </c>
    </row>
    <row r="44" spans="1:9" ht="157.5" customHeight="1">
      <c r="A44" s="153" t="s">
        <v>1228</v>
      </c>
      <c r="B44" s="154" t="s">
        <v>1229</v>
      </c>
      <c r="C44" s="153" t="s">
        <v>1114</v>
      </c>
      <c r="D44" s="154" t="s">
        <v>1230</v>
      </c>
      <c r="E44" s="154" t="s">
        <v>1231</v>
      </c>
      <c r="F44" s="153" t="s">
        <v>377</v>
      </c>
      <c r="G44" s="153" t="s">
        <v>1638</v>
      </c>
      <c r="H44" s="155" t="s">
        <v>36</v>
      </c>
      <c r="I44" s="156">
        <v>46178</v>
      </c>
    </row>
    <row r="45" spans="1:9" ht="153" customHeight="1">
      <c r="A45" s="153" t="s">
        <v>1232</v>
      </c>
      <c r="B45" s="154" t="s">
        <v>1233</v>
      </c>
      <c r="C45" s="153" t="s">
        <v>1114</v>
      </c>
      <c r="D45" s="154" t="s">
        <v>1234</v>
      </c>
      <c r="E45" s="154" t="s">
        <v>1235</v>
      </c>
      <c r="F45" s="153" t="s">
        <v>377</v>
      </c>
      <c r="G45" s="153" t="s">
        <v>1638</v>
      </c>
      <c r="H45" s="155" t="s">
        <v>36</v>
      </c>
      <c r="I45" s="156">
        <v>46178</v>
      </c>
    </row>
    <row r="46" spans="1:9" ht="122.25" customHeight="1">
      <c r="A46" s="153" t="s">
        <v>1236</v>
      </c>
      <c r="B46" s="154" t="s">
        <v>1237</v>
      </c>
      <c r="C46" s="153" t="s">
        <v>1114</v>
      </c>
      <c r="D46" s="154" t="s">
        <v>1238</v>
      </c>
      <c r="E46" s="154" t="s">
        <v>1239</v>
      </c>
      <c r="F46" s="153" t="s">
        <v>377</v>
      </c>
      <c r="G46" s="153" t="s">
        <v>1638</v>
      </c>
      <c r="H46" s="155" t="s">
        <v>37</v>
      </c>
      <c r="I46" s="156">
        <v>46178</v>
      </c>
    </row>
    <row r="47" spans="1:9" ht="106.5" customHeight="1">
      <c r="A47" s="153" t="s">
        <v>1240</v>
      </c>
      <c r="B47" s="154" t="s">
        <v>1217</v>
      </c>
      <c r="C47" s="153" t="s">
        <v>1114</v>
      </c>
      <c r="D47" s="154" t="s">
        <v>1241</v>
      </c>
      <c r="E47" s="154" t="s">
        <v>1242</v>
      </c>
      <c r="F47" s="153" t="s">
        <v>377</v>
      </c>
      <c r="G47" s="153" t="s">
        <v>1638</v>
      </c>
      <c r="H47" s="157" t="s">
        <v>36</v>
      </c>
      <c r="I47" s="156">
        <v>46178</v>
      </c>
    </row>
    <row r="48" spans="1:9" ht="174" customHeight="1">
      <c r="A48" s="153" t="s">
        <v>1243</v>
      </c>
      <c r="B48" s="154" t="s">
        <v>1244</v>
      </c>
      <c r="C48" s="153" t="s">
        <v>1114</v>
      </c>
      <c r="D48" s="154" t="s">
        <v>1245</v>
      </c>
      <c r="E48" s="154" t="s">
        <v>1246</v>
      </c>
      <c r="F48" s="153" t="s">
        <v>377</v>
      </c>
      <c r="G48" s="153" t="s">
        <v>1638</v>
      </c>
      <c r="H48" s="155" t="s">
        <v>36</v>
      </c>
      <c r="I48" s="156">
        <v>46178</v>
      </c>
    </row>
    <row r="49" spans="1:9" ht="126" customHeight="1">
      <c r="A49" s="153" t="s">
        <v>1247</v>
      </c>
      <c r="B49" s="154" t="s">
        <v>1248</v>
      </c>
      <c r="C49" s="153" t="s">
        <v>1114</v>
      </c>
      <c r="D49" s="154" t="s">
        <v>1249</v>
      </c>
      <c r="E49" s="154" t="s">
        <v>1250</v>
      </c>
      <c r="F49" s="153" t="s">
        <v>377</v>
      </c>
      <c r="G49" s="153" t="s">
        <v>1638</v>
      </c>
      <c r="H49" s="155" t="s">
        <v>37</v>
      </c>
      <c r="I49" s="156">
        <v>46178</v>
      </c>
    </row>
    <row r="50" spans="1:9" ht="152.25" customHeight="1">
      <c r="A50" s="153" t="s">
        <v>1251</v>
      </c>
      <c r="B50" s="154" t="s">
        <v>1252</v>
      </c>
      <c r="C50" s="153" t="s">
        <v>1114</v>
      </c>
      <c r="D50" s="154" t="s">
        <v>1253</v>
      </c>
      <c r="E50" s="154" t="s">
        <v>1254</v>
      </c>
      <c r="F50" s="153" t="s">
        <v>377</v>
      </c>
      <c r="G50" s="153" t="s">
        <v>1638</v>
      </c>
      <c r="H50" s="155" t="s">
        <v>36</v>
      </c>
      <c r="I50" s="156">
        <v>46178</v>
      </c>
    </row>
    <row r="51" spans="1:9" ht="126" customHeight="1">
      <c r="A51" s="153" t="s">
        <v>1255</v>
      </c>
      <c r="B51" s="154" t="s">
        <v>1256</v>
      </c>
      <c r="C51" s="153" t="s">
        <v>1114</v>
      </c>
      <c r="D51" s="154" t="s">
        <v>1257</v>
      </c>
      <c r="E51" s="154" t="s">
        <v>1258</v>
      </c>
      <c r="F51" s="153" t="s">
        <v>377</v>
      </c>
      <c r="G51" s="153" t="s">
        <v>1638</v>
      </c>
      <c r="H51" s="155" t="s">
        <v>36</v>
      </c>
      <c r="I51" s="156">
        <v>46178</v>
      </c>
    </row>
    <row r="52" spans="1:9" ht="180.75" customHeight="1">
      <c r="A52" s="153" t="s">
        <v>1259</v>
      </c>
      <c r="B52" s="154" t="s">
        <v>1260</v>
      </c>
      <c r="C52" s="153" t="s">
        <v>1114</v>
      </c>
      <c r="D52" s="154" t="s">
        <v>1261</v>
      </c>
      <c r="E52" s="154" t="s">
        <v>1262</v>
      </c>
      <c r="F52" s="153" t="s">
        <v>377</v>
      </c>
      <c r="G52" s="153" t="s">
        <v>1638</v>
      </c>
      <c r="H52" s="155" t="s">
        <v>37</v>
      </c>
      <c r="I52" s="156">
        <v>46178</v>
      </c>
    </row>
    <row r="53" spans="1:9" ht="137.25" customHeight="1">
      <c r="A53" s="153" t="s">
        <v>1263</v>
      </c>
      <c r="B53" s="154" t="s">
        <v>1264</v>
      </c>
      <c r="C53" s="153" t="s">
        <v>1114</v>
      </c>
      <c r="D53" s="154" t="s">
        <v>1265</v>
      </c>
      <c r="E53" s="154" t="s">
        <v>1266</v>
      </c>
      <c r="F53" s="153" t="s">
        <v>377</v>
      </c>
      <c r="G53" s="153" t="s">
        <v>1638</v>
      </c>
      <c r="H53" s="155" t="s">
        <v>36</v>
      </c>
      <c r="I53" s="156">
        <v>46178</v>
      </c>
    </row>
    <row r="54" spans="1:9" ht="143.25" customHeight="1">
      <c r="A54" s="153" t="s">
        <v>1267</v>
      </c>
      <c r="B54" s="154" t="s">
        <v>1268</v>
      </c>
      <c r="C54" s="153" t="s">
        <v>1114</v>
      </c>
      <c r="D54" s="154" t="s">
        <v>1269</v>
      </c>
      <c r="E54" s="154" t="s">
        <v>1270</v>
      </c>
      <c r="F54" s="153" t="s">
        <v>377</v>
      </c>
      <c r="G54" s="153" t="s">
        <v>1638</v>
      </c>
      <c r="H54" s="155" t="s">
        <v>36</v>
      </c>
      <c r="I54" s="156">
        <v>46178</v>
      </c>
    </row>
    <row r="55" spans="1:9" ht="180.75" customHeight="1">
      <c r="A55" s="153" t="s">
        <v>1271</v>
      </c>
      <c r="B55" s="154" t="s">
        <v>1272</v>
      </c>
      <c r="C55" s="153" t="s">
        <v>1114</v>
      </c>
      <c r="D55" s="154" t="s">
        <v>1273</v>
      </c>
      <c r="E55" s="154" t="s">
        <v>1274</v>
      </c>
      <c r="F55" s="153" t="s">
        <v>377</v>
      </c>
      <c r="G55" s="153" t="s">
        <v>1638</v>
      </c>
      <c r="H55" s="155" t="s">
        <v>36</v>
      </c>
      <c r="I55" s="156">
        <v>46178</v>
      </c>
    </row>
    <row r="56" spans="1:9" ht="104.25" customHeight="1">
      <c r="A56" s="153" t="s">
        <v>1275</v>
      </c>
      <c r="B56" s="154" t="s">
        <v>1276</v>
      </c>
      <c r="C56" s="153" t="s">
        <v>1114</v>
      </c>
      <c r="D56" s="154" t="s">
        <v>1277</v>
      </c>
      <c r="E56" s="154" t="s">
        <v>1278</v>
      </c>
      <c r="F56" s="153" t="s">
        <v>377</v>
      </c>
      <c r="G56" s="153" t="s">
        <v>1638</v>
      </c>
      <c r="H56" s="155" t="s">
        <v>37</v>
      </c>
      <c r="I56" s="156">
        <v>46178</v>
      </c>
    </row>
    <row r="57" spans="1:9" ht="137.25" customHeight="1">
      <c r="A57" s="153" t="s">
        <v>1279</v>
      </c>
      <c r="B57" s="154" t="s">
        <v>1280</v>
      </c>
      <c r="C57" s="153" t="s">
        <v>1114</v>
      </c>
      <c r="D57" s="154" t="s">
        <v>1281</v>
      </c>
      <c r="E57" s="154" t="s">
        <v>1282</v>
      </c>
      <c r="F57" s="153" t="s">
        <v>377</v>
      </c>
      <c r="G57" s="153" t="s">
        <v>1638</v>
      </c>
      <c r="H57" s="155" t="s">
        <v>37</v>
      </c>
      <c r="I57" s="156">
        <v>46178</v>
      </c>
    </row>
    <row r="58" spans="1:9" ht="161.25" customHeight="1">
      <c r="A58" s="153" t="s">
        <v>1283</v>
      </c>
      <c r="B58" s="154" t="s">
        <v>1284</v>
      </c>
      <c r="C58" s="153" t="s">
        <v>1114</v>
      </c>
      <c r="D58" s="154" t="s">
        <v>1285</v>
      </c>
      <c r="E58" s="154" t="s">
        <v>1286</v>
      </c>
      <c r="F58" s="153" t="s">
        <v>377</v>
      </c>
      <c r="G58" s="153" t="s">
        <v>1638</v>
      </c>
      <c r="H58" s="155" t="s">
        <v>36</v>
      </c>
      <c r="I58" s="156">
        <v>46178</v>
      </c>
    </row>
    <row r="59" spans="1:9" ht="176.25" customHeight="1">
      <c r="A59" s="153" t="s">
        <v>1287</v>
      </c>
      <c r="B59" s="154" t="s">
        <v>1288</v>
      </c>
      <c r="C59" s="153" t="s">
        <v>1114</v>
      </c>
      <c r="D59" s="154" t="s">
        <v>1289</v>
      </c>
      <c r="E59" s="154" t="s">
        <v>1290</v>
      </c>
      <c r="F59" s="153" t="s">
        <v>377</v>
      </c>
      <c r="G59" s="153" t="s">
        <v>1638</v>
      </c>
      <c r="H59" s="155" t="s">
        <v>36</v>
      </c>
      <c r="I59" s="156">
        <v>46178</v>
      </c>
    </row>
    <row r="60" spans="1:9" ht="167.25" customHeight="1">
      <c r="A60" s="153" t="s">
        <v>1291</v>
      </c>
      <c r="B60" s="154" t="s">
        <v>1292</v>
      </c>
      <c r="C60" s="153" t="s">
        <v>1293</v>
      </c>
      <c r="D60" s="154" t="s">
        <v>1294</v>
      </c>
      <c r="E60" s="154" t="s">
        <v>1295</v>
      </c>
      <c r="F60" s="153" t="s">
        <v>377</v>
      </c>
      <c r="G60" s="153" t="s">
        <v>1638</v>
      </c>
      <c r="H60" s="155" t="s">
        <v>36</v>
      </c>
      <c r="I60" s="156">
        <v>46178</v>
      </c>
    </row>
    <row r="61" spans="1:9" ht="157.5" customHeight="1">
      <c r="A61" s="153" t="s">
        <v>1296</v>
      </c>
      <c r="B61" s="154" t="s">
        <v>1297</v>
      </c>
      <c r="C61" s="153" t="s">
        <v>1293</v>
      </c>
      <c r="D61" s="154" t="s">
        <v>1298</v>
      </c>
      <c r="E61" s="154" t="s">
        <v>1299</v>
      </c>
      <c r="F61" s="153" t="s">
        <v>377</v>
      </c>
      <c r="G61" s="153" t="s">
        <v>1638</v>
      </c>
      <c r="H61" s="155" t="s">
        <v>36</v>
      </c>
      <c r="I61" s="156">
        <v>46178</v>
      </c>
    </row>
    <row r="62" spans="1:9" ht="135.75" customHeight="1">
      <c r="A62" s="153" t="s">
        <v>1300</v>
      </c>
      <c r="B62" s="154" t="s">
        <v>1301</v>
      </c>
      <c r="C62" s="153" t="s">
        <v>1293</v>
      </c>
      <c r="D62" s="154" t="s">
        <v>1302</v>
      </c>
      <c r="E62" s="154" t="s">
        <v>1303</v>
      </c>
      <c r="F62" s="153" t="s">
        <v>377</v>
      </c>
      <c r="G62" s="153" t="s">
        <v>1638</v>
      </c>
      <c r="H62" s="155" t="s">
        <v>36</v>
      </c>
      <c r="I62" s="156">
        <v>46178</v>
      </c>
    </row>
    <row r="63" spans="1:9" ht="147" customHeight="1">
      <c r="A63" s="153" t="s">
        <v>1304</v>
      </c>
      <c r="B63" s="154" t="s">
        <v>1305</v>
      </c>
      <c r="C63" s="153" t="s">
        <v>1293</v>
      </c>
      <c r="D63" s="154" t="s">
        <v>1306</v>
      </c>
      <c r="E63" s="154" t="s">
        <v>1307</v>
      </c>
      <c r="F63" s="153" t="s">
        <v>377</v>
      </c>
      <c r="G63" s="153" t="s">
        <v>1638</v>
      </c>
      <c r="H63" s="155" t="s">
        <v>36</v>
      </c>
      <c r="I63" s="156">
        <v>46178</v>
      </c>
    </row>
    <row r="64" spans="1:9" ht="155.25" customHeight="1">
      <c r="A64" s="153" t="s">
        <v>1308</v>
      </c>
      <c r="B64" s="154" t="s">
        <v>1309</v>
      </c>
      <c r="C64" s="153" t="s">
        <v>1293</v>
      </c>
      <c r="D64" s="154" t="s">
        <v>1310</v>
      </c>
      <c r="E64" s="154" t="s">
        <v>1311</v>
      </c>
      <c r="F64" s="153" t="s">
        <v>377</v>
      </c>
      <c r="G64" s="153" t="s">
        <v>1638</v>
      </c>
      <c r="H64" s="155" t="s">
        <v>36</v>
      </c>
      <c r="I64" s="156">
        <v>46178</v>
      </c>
    </row>
    <row r="65" spans="1:9" ht="165.75" customHeight="1">
      <c r="A65" s="153" t="s">
        <v>1312</v>
      </c>
      <c r="B65" s="154" t="s">
        <v>1313</v>
      </c>
      <c r="C65" s="153" t="s">
        <v>1293</v>
      </c>
      <c r="D65" s="154" t="s">
        <v>1314</v>
      </c>
      <c r="E65" s="154" t="s">
        <v>1315</v>
      </c>
      <c r="F65" s="153" t="s">
        <v>377</v>
      </c>
      <c r="G65" s="153" t="s">
        <v>1638</v>
      </c>
      <c r="H65" s="155" t="s">
        <v>36</v>
      </c>
      <c r="I65" s="156">
        <v>46178</v>
      </c>
    </row>
    <row r="66" spans="1:9" ht="167.25" customHeight="1">
      <c r="A66" s="153" t="s">
        <v>1316</v>
      </c>
      <c r="B66" s="154" t="s">
        <v>1317</v>
      </c>
      <c r="C66" s="153" t="s">
        <v>1318</v>
      </c>
      <c r="D66" s="154" t="s">
        <v>1319</v>
      </c>
      <c r="E66" s="154" t="s">
        <v>1320</v>
      </c>
      <c r="F66" s="153" t="s">
        <v>377</v>
      </c>
      <c r="G66" s="153" t="s">
        <v>1638</v>
      </c>
      <c r="H66" s="155" t="s">
        <v>36</v>
      </c>
      <c r="I66" s="156">
        <v>46178</v>
      </c>
    </row>
    <row r="67" spans="1:9" ht="165" customHeight="1">
      <c r="A67" s="153" t="s">
        <v>1321</v>
      </c>
      <c r="B67" s="154" t="s">
        <v>1322</v>
      </c>
      <c r="C67" s="153" t="s">
        <v>1318</v>
      </c>
      <c r="D67" s="154" t="s">
        <v>1323</v>
      </c>
      <c r="E67" s="154" t="s">
        <v>1324</v>
      </c>
      <c r="F67" s="153" t="s">
        <v>377</v>
      </c>
      <c r="G67" s="153" t="s">
        <v>1638</v>
      </c>
      <c r="H67" s="155" t="s">
        <v>36</v>
      </c>
      <c r="I67" s="156">
        <v>46178</v>
      </c>
    </row>
    <row r="68" spans="1:9" ht="164.25" customHeight="1">
      <c r="A68" s="153" t="s">
        <v>1325</v>
      </c>
      <c r="B68" s="154" t="s">
        <v>1326</v>
      </c>
      <c r="C68" s="153" t="s">
        <v>1318</v>
      </c>
      <c r="D68" s="154" t="s">
        <v>1327</v>
      </c>
      <c r="E68" s="154" t="s">
        <v>1328</v>
      </c>
      <c r="F68" s="153" t="s">
        <v>377</v>
      </c>
      <c r="G68" s="153" t="s">
        <v>1638</v>
      </c>
      <c r="H68" s="155" t="s">
        <v>37</v>
      </c>
      <c r="I68" s="156">
        <v>46178</v>
      </c>
    </row>
    <row r="69" spans="1:9" ht="164.25" customHeight="1">
      <c r="A69" s="153" t="s">
        <v>1329</v>
      </c>
      <c r="B69" s="154" t="s">
        <v>1330</v>
      </c>
      <c r="C69" s="153" t="s">
        <v>1318</v>
      </c>
      <c r="D69" s="154" t="s">
        <v>1331</v>
      </c>
      <c r="E69" s="154" t="s">
        <v>1332</v>
      </c>
      <c r="F69" s="153" t="s">
        <v>377</v>
      </c>
      <c r="G69" s="153" t="s">
        <v>1638</v>
      </c>
      <c r="H69" s="155" t="s">
        <v>36</v>
      </c>
      <c r="I69" s="156">
        <v>46178</v>
      </c>
    </row>
    <row r="70" spans="1:9" ht="159" customHeight="1">
      <c r="A70" s="153" t="s">
        <v>1333</v>
      </c>
      <c r="B70" s="154" t="s">
        <v>1334</v>
      </c>
      <c r="C70" s="153" t="s">
        <v>1318</v>
      </c>
      <c r="D70" s="154" t="s">
        <v>1335</v>
      </c>
      <c r="E70" s="154" t="s">
        <v>1336</v>
      </c>
      <c r="F70" s="153" t="s">
        <v>377</v>
      </c>
      <c r="G70" s="153" t="s">
        <v>1638</v>
      </c>
      <c r="H70" s="155" t="s">
        <v>36</v>
      </c>
      <c r="I70" s="156">
        <v>46178</v>
      </c>
    </row>
    <row r="71" spans="1:9" ht="136.5" customHeight="1">
      <c r="A71" s="153" t="s">
        <v>1337</v>
      </c>
      <c r="B71" s="154" t="s">
        <v>1338</v>
      </c>
      <c r="C71" s="153" t="s">
        <v>1318</v>
      </c>
      <c r="D71" s="154" t="s">
        <v>1339</v>
      </c>
      <c r="E71" s="154" t="s">
        <v>1340</v>
      </c>
      <c r="F71" s="153" t="s">
        <v>377</v>
      </c>
      <c r="G71" s="153" t="s">
        <v>1638</v>
      </c>
      <c r="H71" s="155" t="s">
        <v>37</v>
      </c>
      <c r="I71" s="156">
        <v>46178</v>
      </c>
    </row>
    <row r="72" spans="1:9" ht="159.75" customHeight="1">
      <c r="A72" s="153" t="s">
        <v>1341</v>
      </c>
      <c r="B72" s="154" t="s">
        <v>1342</v>
      </c>
      <c r="C72" s="153" t="s">
        <v>1318</v>
      </c>
      <c r="D72" s="154" t="s">
        <v>1343</v>
      </c>
      <c r="E72" s="154" t="s">
        <v>1344</v>
      </c>
      <c r="F72" s="153" t="s">
        <v>377</v>
      </c>
      <c r="G72" s="153" t="s">
        <v>1638</v>
      </c>
      <c r="H72" s="155" t="s">
        <v>37</v>
      </c>
      <c r="I72" s="156">
        <v>46178</v>
      </c>
    </row>
    <row r="73" spans="1:9" ht="116.25" customHeight="1">
      <c r="A73" s="153" t="s">
        <v>1345</v>
      </c>
      <c r="B73" s="154" t="s">
        <v>1346</v>
      </c>
      <c r="C73" s="153" t="s">
        <v>1318</v>
      </c>
      <c r="D73" s="154" t="s">
        <v>1347</v>
      </c>
      <c r="E73" s="154" t="s">
        <v>1348</v>
      </c>
      <c r="F73" s="153" t="s">
        <v>377</v>
      </c>
      <c r="G73" s="153" t="s">
        <v>1638</v>
      </c>
      <c r="H73" s="155" t="s">
        <v>37</v>
      </c>
      <c r="I73" s="156">
        <v>46178</v>
      </c>
    </row>
    <row r="74" spans="1:9" ht="130.5" customHeight="1">
      <c r="A74" s="153" t="s">
        <v>1349</v>
      </c>
      <c r="B74" s="154" t="s">
        <v>1350</v>
      </c>
      <c r="C74" s="153" t="s">
        <v>1318</v>
      </c>
      <c r="D74" s="154" t="s">
        <v>1351</v>
      </c>
      <c r="E74" s="154" t="s">
        <v>1352</v>
      </c>
      <c r="F74" s="153" t="s">
        <v>377</v>
      </c>
      <c r="G74" s="153" t="s">
        <v>1638</v>
      </c>
      <c r="H74" s="155" t="s">
        <v>37</v>
      </c>
      <c r="I74" s="156">
        <v>46178</v>
      </c>
    </row>
    <row r="75" spans="1:9" ht="182.25" customHeight="1">
      <c r="A75" s="153" t="s">
        <v>1353</v>
      </c>
      <c r="B75" s="154" t="s">
        <v>1354</v>
      </c>
      <c r="C75" s="153" t="s">
        <v>1355</v>
      </c>
      <c r="D75" s="154" t="s">
        <v>1356</v>
      </c>
      <c r="E75" s="154" t="s">
        <v>1357</v>
      </c>
      <c r="F75" s="153" t="s">
        <v>377</v>
      </c>
      <c r="G75" s="153" t="s">
        <v>1638</v>
      </c>
      <c r="H75" s="155" t="s">
        <v>36</v>
      </c>
      <c r="I75" s="156">
        <v>46178</v>
      </c>
    </row>
    <row r="76" spans="1:9" ht="192" customHeight="1">
      <c r="A76" s="153" t="s">
        <v>1358</v>
      </c>
      <c r="B76" s="154" t="s">
        <v>1359</v>
      </c>
      <c r="C76" s="153" t="s">
        <v>1355</v>
      </c>
      <c r="D76" s="154" t="s">
        <v>1360</v>
      </c>
      <c r="E76" s="154" t="s">
        <v>1361</v>
      </c>
      <c r="F76" s="153" t="s">
        <v>377</v>
      </c>
      <c r="G76" s="153" t="s">
        <v>1638</v>
      </c>
      <c r="H76" s="155" t="s">
        <v>36</v>
      </c>
      <c r="I76" s="156">
        <v>46178</v>
      </c>
    </row>
    <row r="77" spans="1:9" ht="108" customHeight="1">
      <c r="A77" s="153" t="s">
        <v>1362</v>
      </c>
      <c r="B77" s="154" t="s">
        <v>1363</v>
      </c>
      <c r="C77" s="153" t="s">
        <v>1355</v>
      </c>
      <c r="D77" s="154" t="s">
        <v>1364</v>
      </c>
      <c r="E77" s="154" t="s">
        <v>1365</v>
      </c>
      <c r="F77" s="153" t="s">
        <v>377</v>
      </c>
      <c r="G77" s="153" t="s">
        <v>1638</v>
      </c>
      <c r="H77" s="155" t="s">
        <v>37</v>
      </c>
      <c r="I77" s="156">
        <v>46178</v>
      </c>
    </row>
    <row r="78" spans="1:9" ht="163.5" customHeight="1">
      <c r="A78" s="153" t="s">
        <v>1366</v>
      </c>
      <c r="B78" s="154" t="s">
        <v>1367</v>
      </c>
      <c r="C78" s="153" t="s">
        <v>1355</v>
      </c>
      <c r="D78" s="154" t="s">
        <v>1368</v>
      </c>
      <c r="E78" s="154" t="s">
        <v>1369</v>
      </c>
      <c r="F78" s="153" t="s">
        <v>377</v>
      </c>
      <c r="G78" s="153" t="s">
        <v>1638</v>
      </c>
      <c r="H78" s="155" t="s">
        <v>36</v>
      </c>
      <c r="I78" s="156">
        <v>46178</v>
      </c>
    </row>
    <row r="79" spans="1:9" ht="125.25" customHeight="1">
      <c r="A79" s="153" t="s">
        <v>1370</v>
      </c>
      <c r="B79" s="154" t="s">
        <v>1371</v>
      </c>
      <c r="C79" s="153" t="s">
        <v>1355</v>
      </c>
      <c r="D79" s="154" t="s">
        <v>1372</v>
      </c>
      <c r="E79" s="154" t="s">
        <v>1373</v>
      </c>
      <c r="F79" s="153" t="s">
        <v>377</v>
      </c>
      <c r="G79" s="153" t="s">
        <v>1638</v>
      </c>
      <c r="H79" s="155" t="s">
        <v>37</v>
      </c>
      <c r="I79" s="156">
        <v>46178</v>
      </c>
    </row>
    <row r="80" spans="1:9" ht="162.75" customHeight="1">
      <c r="A80" s="153" t="s">
        <v>1374</v>
      </c>
      <c r="B80" s="154" t="s">
        <v>1375</v>
      </c>
      <c r="C80" s="153" t="s">
        <v>1376</v>
      </c>
      <c r="D80" s="154" t="s">
        <v>1377</v>
      </c>
      <c r="E80" s="154" t="s">
        <v>1378</v>
      </c>
      <c r="F80" s="153" t="s">
        <v>377</v>
      </c>
      <c r="G80" s="153" t="s">
        <v>1638</v>
      </c>
      <c r="H80" s="155" t="s">
        <v>37</v>
      </c>
      <c r="I80" s="156">
        <v>46178</v>
      </c>
    </row>
    <row r="81" spans="1:9" ht="150" customHeight="1">
      <c r="A81" s="153" t="s">
        <v>1379</v>
      </c>
      <c r="B81" s="154" t="s">
        <v>1380</v>
      </c>
      <c r="C81" s="153" t="s">
        <v>1376</v>
      </c>
      <c r="D81" s="154" t="s">
        <v>1381</v>
      </c>
      <c r="E81" s="154" t="s">
        <v>1382</v>
      </c>
      <c r="F81" s="153" t="s">
        <v>377</v>
      </c>
      <c r="G81" s="153" t="s">
        <v>1638</v>
      </c>
      <c r="H81" s="155" t="s">
        <v>36</v>
      </c>
      <c r="I81" s="156">
        <v>46178</v>
      </c>
    </row>
    <row r="82" spans="1:9" ht="140.25" customHeight="1">
      <c r="A82" s="153" t="s">
        <v>1383</v>
      </c>
      <c r="B82" s="154" t="s">
        <v>1384</v>
      </c>
      <c r="C82" s="153" t="s">
        <v>1376</v>
      </c>
      <c r="D82" s="154" t="s">
        <v>1385</v>
      </c>
      <c r="E82" s="154" t="s">
        <v>1386</v>
      </c>
      <c r="F82" s="153" t="s">
        <v>377</v>
      </c>
      <c r="G82" s="153" t="s">
        <v>1638</v>
      </c>
      <c r="H82" s="155" t="s">
        <v>37</v>
      </c>
      <c r="I82" s="156">
        <v>46178</v>
      </c>
    </row>
    <row r="83" spans="1:9" ht="173.25" customHeight="1">
      <c r="A83" s="153" t="s">
        <v>1387</v>
      </c>
      <c r="B83" s="154" t="s">
        <v>1388</v>
      </c>
      <c r="C83" s="153" t="s">
        <v>1376</v>
      </c>
      <c r="D83" s="154" t="s">
        <v>1389</v>
      </c>
      <c r="E83" s="154" t="s">
        <v>1390</v>
      </c>
      <c r="F83" s="153" t="s">
        <v>377</v>
      </c>
      <c r="G83" s="153" t="s">
        <v>1638</v>
      </c>
      <c r="H83" s="155" t="s">
        <v>37</v>
      </c>
      <c r="I83" s="156">
        <v>46178</v>
      </c>
    </row>
    <row r="84" spans="1:9" ht="170.25" customHeight="1">
      <c r="A84" s="153" t="s">
        <v>1391</v>
      </c>
      <c r="B84" s="154" t="s">
        <v>1205</v>
      </c>
      <c r="C84" s="153" t="s">
        <v>1376</v>
      </c>
      <c r="D84" s="154" t="s">
        <v>1392</v>
      </c>
      <c r="E84" s="154" t="s">
        <v>1393</v>
      </c>
      <c r="F84" s="153" t="s">
        <v>377</v>
      </c>
      <c r="G84" s="153" t="s">
        <v>1638</v>
      </c>
      <c r="H84" s="155" t="s">
        <v>37</v>
      </c>
      <c r="I84" s="156">
        <v>46178</v>
      </c>
    </row>
    <row r="85" spans="1:9" ht="114.75" customHeight="1">
      <c r="A85" s="153" t="s">
        <v>1394</v>
      </c>
      <c r="B85" s="154" t="s">
        <v>1395</v>
      </c>
      <c r="C85" s="153" t="s">
        <v>1376</v>
      </c>
      <c r="D85" s="154" t="s">
        <v>1396</v>
      </c>
      <c r="E85" s="154" t="s">
        <v>1397</v>
      </c>
      <c r="F85" s="153" t="s">
        <v>377</v>
      </c>
      <c r="G85" s="153" t="s">
        <v>1638</v>
      </c>
      <c r="H85" s="155" t="s">
        <v>37</v>
      </c>
      <c r="I85" s="156">
        <v>46178</v>
      </c>
    </row>
    <row r="86" spans="1:9" ht="106.5" customHeight="1">
      <c r="A86" s="153" t="s">
        <v>1398</v>
      </c>
      <c r="B86" s="154" t="s">
        <v>1399</v>
      </c>
      <c r="C86" s="153" t="s">
        <v>1376</v>
      </c>
      <c r="D86" s="154" t="s">
        <v>1400</v>
      </c>
      <c r="E86" s="154" t="s">
        <v>1401</v>
      </c>
      <c r="F86" s="153" t="s">
        <v>377</v>
      </c>
      <c r="G86" s="153" t="s">
        <v>1638</v>
      </c>
      <c r="H86" s="155" t="s">
        <v>37</v>
      </c>
      <c r="I86" s="156">
        <v>46178</v>
      </c>
    </row>
    <row r="87" spans="1:9" ht="151.5" customHeight="1">
      <c r="A87" s="153" t="s">
        <v>1402</v>
      </c>
      <c r="B87" s="154" t="s">
        <v>1403</v>
      </c>
      <c r="C87" s="153" t="s">
        <v>1376</v>
      </c>
      <c r="D87" s="154" t="s">
        <v>1404</v>
      </c>
      <c r="E87" s="154" t="s">
        <v>1405</v>
      </c>
      <c r="F87" s="153" t="s">
        <v>377</v>
      </c>
      <c r="G87" s="153" t="s">
        <v>1638</v>
      </c>
      <c r="H87" s="155" t="s">
        <v>36</v>
      </c>
      <c r="I87" s="156">
        <v>46178</v>
      </c>
    </row>
    <row r="88" spans="1:9" ht="122.25" customHeight="1">
      <c r="A88" s="153" t="s">
        <v>1406</v>
      </c>
      <c r="B88" s="154" t="s">
        <v>1407</v>
      </c>
      <c r="C88" s="153" t="s">
        <v>1376</v>
      </c>
      <c r="D88" s="154" t="s">
        <v>1408</v>
      </c>
      <c r="E88" s="154" t="s">
        <v>1409</v>
      </c>
      <c r="F88" s="153" t="s">
        <v>377</v>
      </c>
      <c r="G88" s="153" t="s">
        <v>1638</v>
      </c>
      <c r="H88" s="155" t="s">
        <v>37</v>
      </c>
      <c r="I88" s="156">
        <v>46178</v>
      </c>
    </row>
    <row r="89" spans="1:9" ht="158.25" customHeight="1">
      <c r="A89" s="153" t="s">
        <v>1410</v>
      </c>
      <c r="B89" s="154" t="s">
        <v>1411</v>
      </c>
      <c r="C89" s="153" t="s">
        <v>1376</v>
      </c>
      <c r="D89" s="154" t="s">
        <v>1412</v>
      </c>
      <c r="E89" s="154" t="s">
        <v>1413</v>
      </c>
      <c r="F89" s="153" t="s">
        <v>377</v>
      </c>
      <c r="G89" s="153" t="s">
        <v>1638</v>
      </c>
      <c r="H89" s="155" t="s">
        <v>37</v>
      </c>
      <c r="I89" s="156">
        <v>46178</v>
      </c>
    </row>
    <row r="90" spans="1:9" ht="166.5" customHeight="1">
      <c r="A90" s="153" t="s">
        <v>1414</v>
      </c>
      <c r="B90" s="154" t="s">
        <v>1415</v>
      </c>
      <c r="C90" s="153" t="s">
        <v>1376</v>
      </c>
      <c r="D90" s="154" t="s">
        <v>1416</v>
      </c>
      <c r="E90" s="154" t="s">
        <v>1417</v>
      </c>
      <c r="F90" s="153" t="s">
        <v>377</v>
      </c>
      <c r="G90" s="153" t="s">
        <v>1638</v>
      </c>
      <c r="H90" s="155" t="s">
        <v>37</v>
      </c>
      <c r="I90" s="156">
        <v>46178</v>
      </c>
    </row>
    <row r="91" spans="1:9" ht="210.75" customHeight="1">
      <c r="A91" s="153" t="s">
        <v>1418</v>
      </c>
      <c r="B91" s="154" t="s">
        <v>1244</v>
      </c>
      <c r="C91" s="153" t="s">
        <v>1376</v>
      </c>
      <c r="D91" s="154" t="s">
        <v>1419</v>
      </c>
      <c r="E91" s="154" t="s">
        <v>1420</v>
      </c>
      <c r="F91" s="153" t="s">
        <v>377</v>
      </c>
      <c r="G91" s="153" t="s">
        <v>1638</v>
      </c>
      <c r="H91" s="155" t="s">
        <v>37</v>
      </c>
      <c r="I91" s="156">
        <v>46178</v>
      </c>
    </row>
    <row r="92" spans="1:9" ht="135.75" customHeight="1">
      <c r="A92" s="153" t="s">
        <v>1421</v>
      </c>
      <c r="B92" s="154" t="s">
        <v>1248</v>
      </c>
      <c r="C92" s="153" t="s">
        <v>1376</v>
      </c>
      <c r="D92" s="154" t="s">
        <v>1422</v>
      </c>
      <c r="E92" s="154" t="s">
        <v>1423</v>
      </c>
      <c r="F92" s="153" t="s">
        <v>377</v>
      </c>
      <c r="G92" s="153" t="s">
        <v>1638</v>
      </c>
      <c r="H92" s="155" t="s">
        <v>37</v>
      </c>
      <c r="I92" s="156">
        <v>46178</v>
      </c>
    </row>
    <row r="93" spans="1:9" ht="192" customHeight="1">
      <c r="A93" s="153" t="s">
        <v>1424</v>
      </c>
      <c r="B93" s="154" t="s">
        <v>1425</v>
      </c>
      <c r="C93" s="153" t="s">
        <v>1376</v>
      </c>
      <c r="D93" s="154" t="s">
        <v>1426</v>
      </c>
      <c r="E93" s="154" t="s">
        <v>1427</v>
      </c>
      <c r="F93" s="153" t="s">
        <v>377</v>
      </c>
      <c r="G93" s="153" t="s">
        <v>1638</v>
      </c>
      <c r="H93" s="155" t="s">
        <v>37</v>
      </c>
      <c r="I93" s="156">
        <v>46178</v>
      </c>
    </row>
    <row r="94" spans="1:9" ht="189.75" customHeight="1">
      <c r="A94" s="153" t="s">
        <v>1428</v>
      </c>
      <c r="B94" s="154" t="s">
        <v>1429</v>
      </c>
      <c r="C94" s="153" t="s">
        <v>1376</v>
      </c>
      <c r="D94" s="154" t="s">
        <v>1430</v>
      </c>
      <c r="E94" s="154" t="s">
        <v>1431</v>
      </c>
      <c r="F94" s="153" t="s">
        <v>377</v>
      </c>
      <c r="G94" s="153" t="s">
        <v>1638</v>
      </c>
      <c r="H94" s="155" t="s">
        <v>37</v>
      </c>
      <c r="I94" s="156">
        <v>46178</v>
      </c>
    </row>
    <row r="95" spans="1:9" ht="117.75" customHeight="1">
      <c r="A95" s="153" t="s">
        <v>1432</v>
      </c>
      <c r="B95" s="154" t="s">
        <v>1433</v>
      </c>
      <c r="C95" s="153" t="s">
        <v>1376</v>
      </c>
      <c r="D95" s="154" t="s">
        <v>1434</v>
      </c>
      <c r="E95" s="154" t="s">
        <v>1435</v>
      </c>
      <c r="F95" s="153" t="s">
        <v>377</v>
      </c>
      <c r="G95" s="153" t="s">
        <v>1638</v>
      </c>
      <c r="H95" s="155" t="s">
        <v>37</v>
      </c>
      <c r="I95" s="156">
        <v>46178</v>
      </c>
    </row>
    <row r="96" spans="1:9" ht="146.25" customHeight="1">
      <c r="A96" s="153" t="s">
        <v>1436</v>
      </c>
      <c r="B96" s="154" t="s">
        <v>1437</v>
      </c>
      <c r="C96" s="153" t="s">
        <v>1376</v>
      </c>
      <c r="D96" s="154" t="s">
        <v>1438</v>
      </c>
      <c r="E96" s="154" t="s">
        <v>1439</v>
      </c>
      <c r="F96" s="153" t="s">
        <v>377</v>
      </c>
      <c r="G96" s="153" t="s">
        <v>1638</v>
      </c>
      <c r="H96" s="155" t="s">
        <v>37</v>
      </c>
      <c r="I96" s="156">
        <v>46178</v>
      </c>
    </row>
    <row r="97" spans="1:9" ht="108.75" customHeight="1">
      <c r="A97" s="153" t="s">
        <v>1440</v>
      </c>
      <c r="B97" s="154" t="s">
        <v>1441</v>
      </c>
      <c r="C97" s="153" t="s">
        <v>1376</v>
      </c>
      <c r="D97" s="154" t="s">
        <v>1442</v>
      </c>
      <c r="E97" s="154" t="s">
        <v>1443</v>
      </c>
      <c r="F97" s="153" t="s">
        <v>377</v>
      </c>
      <c r="G97" s="153" t="s">
        <v>1638</v>
      </c>
      <c r="H97" s="155" t="s">
        <v>37</v>
      </c>
      <c r="I97" s="156">
        <v>46178</v>
      </c>
    </row>
    <row r="98" spans="1:9" ht="168.75" customHeight="1">
      <c r="A98" s="153" t="s">
        <v>1444</v>
      </c>
      <c r="B98" s="154" t="s">
        <v>1445</v>
      </c>
      <c r="C98" s="153" t="s">
        <v>1376</v>
      </c>
      <c r="D98" s="154" t="s">
        <v>1446</v>
      </c>
      <c r="E98" s="154" t="s">
        <v>1447</v>
      </c>
      <c r="F98" s="153" t="s">
        <v>377</v>
      </c>
      <c r="G98" s="153" t="s">
        <v>1638</v>
      </c>
      <c r="H98" s="155" t="s">
        <v>37</v>
      </c>
      <c r="I98" s="156">
        <v>46178</v>
      </c>
    </row>
    <row r="99" spans="1:9" ht="120" customHeight="1">
      <c r="A99" s="153" t="s">
        <v>1448</v>
      </c>
      <c r="B99" s="154" t="s">
        <v>1449</v>
      </c>
      <c r="C99" s="153" t="s">
        <v>1376</v>
      </c>
      <c r="D99" s="154" t="s">
        <v>1450</v>
      </c>
      <c r="E99" s="154" t="s">
        <v>1451</v>
      </c>
      <c r="F99" s="153" t="s">
        <v>377</v>
      </c>
      <c r="G99" s="153" t="s">
        <v>1638</v>
      </c>
      <c r="H99" s="155" t="s">
        <v>37</v>
      </c>
      <c r="I99" s="156">
        <v>46178</v>
      </c>
    </row>
    <row r="100" spans="1:9" ht="139.5" customHeight="1">
      <c r="A100" s="153" t="s">
        <v>1452</v>
      </c>
      <c r="B100" s="154" t="s">
        <v>1453</v>
      </c>
      <c r="C100" s="153" t="s">
        <v>1376</v>
      </c>
      <c r="D100" s="154" t="s">
        <v>1454</v>
      </c>
      <c r="E100" s="154" t="s">
        <v>1455</v>
      </c>
      <c r="F100" s="153" t="s">
        <v>377</v>
      </c>
      <c r="G100" s="153" t="s">
        <v>1638</v>
      </c>
      <c r="H100" s="155" t="s">
        <v>37</v>
      </c>
      <c r="I100" s="156">
        <v>46178</v>
      </c>
    </row>
    <row r="101" spans="1:9" ht="89.25">
      <c r="A101" s="153" t="s">
        <v>1456</v>
      </c>
      <c r="B101" s="154" t="s">
        <v>1457</v>
      </c>
      <c r="C101" s="153" t="s">
        <v>1376</v>
      </c>
      <c r="D101" s="154" t="s">
        <v>1458</v>
      </c>
      <c r="E101" s="154" t="s">
        <v>1459</v>
      </c>
      <c r="F101" s="153" t="s">
        <v>377</v>
      </c>
      <c r="G101" s="153" t="s">
        <v>1638</v>
      </c>
      <c r="H101" s="155" t="s">
        <v>37</v>
      </c>
      <c r="I101" s="156">
        <v>46178</v>
      </c>
    </row>
    <row r="102" spans="1:9" ht="89.25">
      <c r="A102" s="153" t="s">
        <v>1460</v>
      </c>
      <c r="B102" s="154" t="s">
        <v>1461</v>
      </c>
      <c r="C102" s="153" t="s">
        <v>1376</v>
      </c>
      <c r="D102" s="154" t="s">
        <v>1462</v>
      </c>
      <c r="E102" s="154" t="s">
        <v>1463</v>
      </c>
      <c r="F102" s="153" t="s">
        <v>377</v>
      </c>
      <c r="G102" s="153" t="s">
        <v>1638</v>
      </c>
      <c r="H102" s="155" t="s">
        <v>37</v>
      </c>
      <c r="I102" s="156">
        <v>46178</v>
      </c>
    </row>
    <row r="103" spans="1:9" ht="76.5">
      <c r="A103" s="153" t="s">
        <v>1464</v>
      </c>
      <c r="B103" s="154" t="s">
        <v>1465</v>
      </c>
      <c r="C103" s="153" t="s">
        <v>1376</v>
      </c>
      <c r="D103" s="154" t="s">
        <v>1466</v>
      </c>
      <c r="E103" s="154" t="s">
        <v>1467</v>
      </c>
      <c r="F103" s="153" t="s">
        <v>377</v>
      </c>
      <c r="G103" s="153" t="s">
        <v>1638</v>
      </c>
      <c r="H103" s="155" t="s">
        <v>37</v>
      </c>
      <c r="I103" s="156">
        <v>46178</v>
      </c>
    </row>
    <row r="104" spans="1:9" ht="63.75">
      <c r="A104" s="153" t="s">
        <v>1468</v>
      </c>
      <c r="B104" s="154" t="s">
        <v>1469</v>
      </c>
      <c r="C104" s="153" t="s">
        <v>1376</v>
      </c>
      <c r="D104" s="154" t="s">
        <v>1470</v>
      </c>
      <c r="E104" s="154" t="s">
        <v>1471</v>
      </c>
      <c r="F104" s="153" t="s">
        <v>377</v>
      </c>
      <c r="G104" s="153" t="s">
        <v>1638</v>
      </c>
      <c r="H104" s="155" t="s">
        <v>37</v>
      </c>
      <c r="I104" s="156">
        <v>46178</v>
      </c>
    </row>
    <row r="105" spans="1:9" ht="63.75">
      <c r="A105" s="153" t="s">
        <v>1472</v>
      </c>
      <c r="B105" s="154" t="s">
        <v>1473</v>
      </c>
      <c r="C105" s="153" t="s">
        <v>1376</v>
      </c>
      <c r="D105" s="154" t="s">
        <v>1474</v>
      </c>
      <c r="E105" s="154" t="s">
        <v>1475</v>
      </c>
      <c r="F105" s="153" t="s">
        <v>377</v>
      </c>
      <c r="G105" s="153" t="s">
        <v>1638</v>
      </c>
      <c r="H105" s="155" t="s">
        <v>37</v>
      </c>
      <c r="I105" s="156">
        <v>46178</v>
      </c>
    </row>
    <row r="106" spans="1:9" ht="51">
      <c r="A106" s="153" t="s">
        <v>1476</v>
      </c>
      <c r="B106" s="154" t="s">
        <v>1276</v>
      </c>
      <c r="C106" s="153" t="s">
        <v>1376</v>
      </c>
      <c r="D106" s="154" t="s">
        <v>1477</v>
      </c>
      <c r="E106" s="154" t="s">
        <v>1478</v>
      </c>
      <c r="F106" s="153" t="s">
        <v>377</v>
      </c>
      <c r="G106" s="153" t="s">
        <v>1638</v>
      </c>
      <c r="H106" s="155" t="s">
        <v>37</v>
      </c>
      <c r="I106" s="156">
        <v>46178</v>
      </c>
    </row>
    <row r="107" spans="1:9" ht="76.5">
      <c r="A107" s="153" t="s">
        <v>1479</v>
      </c>
      <c r="B107" s="154" t="s">
        <v>1480</v>
      </c>
      <c r="C107" s="153" t="s">
        <v>1376</v>
      </c>
      <c r="D107" s="154" t="s">
        <v>1481</v>
      </c>
      <c r="E107" s="154" t="s">
        <v>1482</v>
      </c>
      <c r="F107" s="153" t="s">
        <v>377</v>
      </c>
      <c r="G107" s="153" t="s">
        <v>1638</v>
      </c>
      <c r="H107" s="155" t="s">
        <v>37</v>
      </c>
      <c r="I107" s="156">
        <v>46178</v>
      </c>
    </row>
    <row r="108" spans="1:9" ht="63.75">
      <c r="A108" s="153" t="s">
        <v>1483</v>
      </c>
      <c r="B108" s="154" t="s">
        <v>1484</v>
      </c>
      <c r="C108" s="153" t="s">
        <v>1376</v>
      </c>
      <c r="D108" s="154" t="s">
        <v>1485</v>
      </c>
      <c r="E108" s="154" t="s">
        <v>1486</v>
      </c>
      <c r="F108" s="153" t="s">
        <v>377</v>
      </c>
      <c r="G108" s="153" t="s">
        <v>1638</v>
      </c>
      <c r="H108" s="155" t="s">
        <v>37</v>
      </c>
      <c r="I108" s="156">
        <v>46178</v>
      </c>
    </row>
    <row r="109" spans="1:9" ht="89.25">
      <c r="A109" s="153" t="s">
        <v>1487</v>
      </c>
      <c r="B109" s="154" t="s">
        <v>1488</v>
      </c>
      <c r="C109" s="153" t="s">
        <v>1376</v>
      </c>
      <c r="D109" s="154" t="s">
        <v>1489</v>
      </c>
      <c r="E109" s="154" t="s">
        <v>1490</v>
      </c>
      <c r="F109" s="153" t="s">
        <v>377</v>
      </c>
      <c r="G109" s="153" t="s">
        <v>1638</v>
      </c>
      <c r="H109" s="155" t="s">
        <v>37</v>
      </c>
      <c r="I109" s="156">
        <v>46178</v>
      </c>
    </row>
    <row r="110" spans="1:9" ht="89.25">
      <c r="A110" s="153" t="s">
        <v>1491</v>
      </c>
      <c r="B110" s="154" t="s">
        <v>1492</v>
      </c>
      <c r="C110" s="153" t="s">
        <v>1493</v>
      </c>
      <c r="D110" s="154" t="s">
        <v>1494</v>
      </c>
      <c r="E110" s="154" t="s">
        <v>1495</v>
      </c>
      <c r="F110" s="153" t="s">
        <v>377</v>
      </c>
      <c r="G110" s="153" t="s">
        <v>1638</v>
      </c>
      <c r="H110" s="155" t="s">
        <v>36</v>
      </c>
      <c r="I110" s="156">
        <v>46178</v>
      </c>
    </row>
    <row r="111" spans="1:9" ht="51">
      <c r="A111" s="153" t="s">
        <v>1496</v>
      </c>
      <c r="B111" s="154" t="s">
        <v>1497</v>
      </c>
      <c r="C111" s="153" t="s">
        <v>1493</v>
      </c>
      <c r="D111" s="154" t="s">
        <v>1498</v>
      </c>
      <c r="E111" s="154" t="s">
        <v>1499</v>
      </c>
      <c r="F111" s="153" t="s">
        <v>377</v>
      </c>
      <c r="G111" s="153" t="s">
        <v>1638</v>
      </c>
      <c r="H111" s="155" t="s">
        <v>36</v>
      </c>
      <c r="I111" s="156">
        <v>46178</v>
      </c>
    </row>
    <row r="112" spans="1:9" ht="63.75">
      <c r="A112" s="153" t="s">
        <v>1500</v>
      </c>
      <c r="B112" s="154" t="s">
        <v>1501</v>
      </c>
      <c r="C112" s="153" t="s">
        <v>1493</v>
      </c>
      <c r="D112" s="154" t="s">
        <v>1502</v>
      </c>
      <c r="E112" s="154" t="s">
        <v>1503</v>
      </c>
      <c r="F112" s="153" t="s">
        <v>377</v>
      </c>
      <c r="G112" s="153" t="s">
        <v>1638</v>
      </c>
      <c r="H112" s="155" t="s">
        <v>36</v>
      </c>
      <c r="I112" s="156">
        <v>46178</v>
      </c>
    </row>
    <row r="113" spans="1:9" ht="114.75">
      <c r="A113" s="153" t="s">
        <v>1504</v>
      </c>
      <c r="B113" s="154" t="s">
        <v>1505</v>
      </c>
      <c r="C113" s="153" t="s">
        <v>1493</v>
      </c>
      <c r="D113" s="154" t="s">
        <v>1506</v>
      </c>
      <c r="E113" s="154" t="s">
        <v>1507</v>
      </c>
      <c r="F113" s="153" t="s">
        <v>377</v>
      </c>
      <c r="G113" s="153" t="s">
        <v>1638</v>
      </c>
      <c r="H113" s="155" t="s">
        <v>36</v>
      </c>
      <c r="I113" s="156">
        <v>46178</v>
      </c>
    </row>
    <row r="114" spans="1:9" ht="114.75">
      <c r="A114" s="153" t="s">
        <v>1508</v>
      </c>
      <c r="B114" s="154" t="s">
        <v>1509</v>
      </c>
      <c r="C114" s="153" t="s">
        <v>1493</v>
      </c>
      <c r="D114" s="154" t="s">
        <v>1510</v>
      </c>
      <c r="E114" s="154" t="s">
        <v>1511</v>
      </c>
      <c r="F114" s="153" t="s">
        <v>377</v>
      </c>
      <c r="G114" s="153" t="s">
        <v>1638</v>
      </c>
      <c r="H114" s="155" t="s">
        <v>36</v>
      </c>
      <c r="I114" s="156">
        <v>46178</v>
      </c>
    </row>
    <row r="115" spans="1:9" ht="127.5">
      <c r="A115" s="153" t="s">
        <v>1512</v>
      </c>
      <c r="B115" s="154" t="s">
        <v>1513</v>
      </c>
      <c r="C115" s="153" t="s">
        <v>1493</v>
      </c>
      <c r="D115" s="154" t="s">
        <v>1514</v>
      </c>
      <c r="E115" s="154" t="s">
        <v>1515</v>
      </c>
      <c r="F115" s="153" t="s">
        <v>377</v>
      </c>
      <c r="G115" s="153" t="s">
        <v>1638</v>
      </c>
      <c r="H115" s="155" t="s">
        <v>36</v>
      </c>
      <c r="I115" s="156">
        <v>46178</v>
      </c>
    </row>
    <row r="116" spans="1:9" ht="76.5">
      <c r="A116" s="153" t="s">
        <v>1516</v>
      </c>
      <c r="B116" s="154" t="s">
        <v>1517</v>
      </c>
      <c r="C116" s="153" t="s">
        <v>1493</v>
      </c>
      <c r="D116" s="154" t="s">
        <v>1518</v>
      </c>
      <c r="E116" s="154" t="s">
        <v>1519</v>
      </c>
      <c r="F116" s="153" t="s">
        <v>377</v>
      </c>
      <c r="G116" s="153" t="s">
        <v>1638</v>
      </c>
      <c r="H116" s="155" t="s">
        <v>37</v>
      </c>
      <c r="I116" s="156">
        <v>46178</v>
      </c>
    </row>
    <row r="117" spans="1:9" ht="63.75">
      <c r="A117" s="153" t="s">
        <v>1520</v>
      </c>
      <c r="B117" s="154" t="s">
        <v>1521</v>
      </c>
      <c r="C117" s="153" t="s">
        <v>1493</v>
      </c>
      <c r="D117" s="154" t="s">
        <v>1522</v>
      </c>
      <c r="E117" s="154" t="s">
        <v>1523</v>
      </c>
      <c r="F117" s="153" t="s">
        <v>377</v>
      </c>
      <c r="G117" s="153" t="s">
        <v>1638</v>
      </c>
      <c r="H117" s="155" t="s">
        <v>37</v>
      </c>
      <c r="I117" s="156">
        <v>46178</v>
      </c>
    </row>
    <row r="118" spans="1:9" ht="63.75">
      <c r="A118" s="153" t="s">
        <v>1524</v>
      </c>
      <c r="B118" s="154" t="s">
        <v>1525</v>
      </c>
      <c r="C118" s="153" t="s">
        <v>1493</v>
      </c>
      <c r="D118" s="154" t="s">
        <v>1526</v>
      </c>
      <c r="E118" s="154" t="s">
        <v>1527</v>
      </c>
      <c r="F118" s="153" t="s">
        <v>377</v>
      </c>
      <c r="G118" s="153" t="s">
        <v>1638</v>
      </c>
      <c r="H118" s="155" t="s">
        <v>36</v>
      </c>
      <c r="I118" s="156">
        <v>46178</v>
      </c>
    </row>
    <row r="119" spans="1:9" ht="63.75">
      <c r="A119" s="153" t="s">
        <v>1528</v>
      </c>
      <c r="B119" s="154" t="s">
        <v>1497</v>
      </c>
      <c r="C119" s="153" t="s">
        <v>1493</v>
      </c>
      <c r="D119" s="154" t="s">
        <v>1529</v>
      </c>
      <c r="E119" s="154" t="s">
        <v>1530</v>
      </c>
      <c r="F119" s="153" t="s">
        <v>377</v>
      </c>
      <c r="G119" s="153" t="s">
        <v>1638</v>
      </c>
      <c r="H119" s="155" t="s">
        <v>36</v>
      </c>
      <c r="I119" s="156">
        <v>46178</v>
      </c>
    </row>
    <row r="120" spans="1:9" ht="63.75">
      <c r="A120" s="153" t="s">
        <v>1531</v>
      </c>
      <c r="B120" s="154" t="s">
        <v>1449</v>
      </c>
      <c r="C120" s="153" t="s">
        <v>1493</v>
      </c>
      <c r="D120" s="154" t="s">
        <v>1532</v>
      </c>
      <c r="E120" s="154" t="s">
        <v>1533</v>
      </c>
      <c r="F120" s="153" t="s">
        <v>377</v>
      </c>
      <c r="G120" s="153" t="s">
        <v>1638</v>
      </c>
      <c r="H120" s="155" t="s">
        <v>36</v>
      </c>
      <c r="I120" s="156">
        <v>46178</v>
      </c>
    </row>
    <row r="121" spans="1:9" ht="76.5">
      <c r="A121" s="153" t="s">
        <v>1534</v>
      </c>
      <c r="B121" s="154" t="s">
        <v>1535</v>
      </c>
      <c r="C121" s="153" t="s">
        <v>1493</v>
      </c>
      <c r="D121" s="154" t="s">
        <v>1536</v>
      </c>
      <c r="E121" s="154" t="s">
        <v>1537</v>
      </c>
      <c r="F121" s="153" t="s">
        <v>377</v>
      </c>
      <c r="G121" s="153" t="s">
        <v>1638</v>
      </c>
      <c r="H121" s="155" t="s">
        <v>37</v>
      </c>
      <c r="I121" s="156">
        <v>46178</v>
      </c>
    </row>
    <row r="122" spans="1:9" ht="63.75">
      <c r="A122" s="153" t="s">
        <v>1538</v>
      </c>
      <c r="B122" s="154" t="s">
        <v>1539</v>
      </c>
      <c r="C122" s="153" t="s">
        <v>1493</v>
      </c>
      <c r="D122" s="154" t="s">
        <v>1540</v>
      </c>
      <c r="E122" s="154" t="s">
        <v>1541</v>
      </c>
      <c r="F122" s="153" t="s">
        <v>377</v>
      </c>
      <c r="G122" s="153" t="s">
        <v>1638</v>
      </c>
      <c r="H122" s="155" t="s">
        <v>37</v>
      </c>
      <c r="I122" s="156">
        <v>46178</v>
      </c>
    </row>
    <row r="123" spans="1:9" ht="63.75">
      <c r="A123" s="153" t="s">
        <v>1542</v>
      </c>
      <c r="B123" s="154" t="s">
        <v>1543</v>
      </c>
      <c r="C123" s="153" t="s">
        <v>1493</v>
      </c>
      <c r="D123" s="154" t="s">
        <v>1544</v>
      </c>
      <c r="E123" s="154" t="s">
        <v>1545</v>
      </c>
      <c r="F123" s="153" t="s">
        <v>377</v>
      </c>
      <c r="G123" s="153" t="s">
        <v>1638</v>
      </c>
      <c r="H123" s="155" t="s">
        <v>37</v>
      </c>
      <c r="I123" s="156">
        <v>46178</v>
      </c>
    </row>
    <row r="124" spans="1:9" ht="63.75">
      <c r="A124" s="153" t="s">
        <v>1546</v>
      </c>
      <c r="B124" s="154" t="s">
        <v>1547</v>
      </c>
      <c r="C124" s="153" t="s">
        <v>1493</v>
      </c>
      <c r="D124" s="154" t="s">
        <v>1548</v>
      </c>
      <c r="E124" s="154" t="s">
        <v>1549</v>
      </c>
      <c r="F124" s="153" t="s">
        <v>377</v>
      </c>
      <c r="G124" s="153" t="s">
        <v>1638</v>
      </c>
      <c r="H124" s="155" t="s">
        <v>36</v>
      </c>
      <c r="I124" s="156">
        <v>46178</v>
      </c>
    </row>
    <row r="125" spans="1:9" ht="51">
      <c r="A125" s="153" t="s">
        <v>1550</v>
      </c>
      <c r="B125" s="154" t="s">
        <v>1395</v>
      </c>
      <c r="C125" s="153" t="s">
        <v>1493</v>
      </c>
      <c r="D125" s="154" t="s">
        <v>1551</v>
      </c>
      <c r="E125" s="154" t="s">
        <v>1552</v>
      </c>
      <c r="F125" s="153" t="s">
        <v>377</v>
      </c>
      <c r="G125" s="153" t="s">
        <v>1638</v>
      </c>
      <c r="H125" s="155" t="s">
        <v>36</v>
      </c>
      <c r="I125" s="156">
        <v>46178</v>
      </c>
    </row>
    <row r="126" spans="1:9" ht="63.75">
      <c r="A126" s="153" t="s">
        <v>1553</v>
      </c>
      <c r="B126" s="154" t="s">
        <v>1399</v>
      </c>
      <c r="C126" s="153" t="s">
        <v>1493</v>
      </c>
      <c r="D126" s="154" t="s">
        <v>1554</v>
      </c>
      <c r="E126" s="154" t="s">
        <v>1555</v>
      </c>
      <c r="F126" s="153" t="s">
        <v>377</v>
      </c>
      <c r="G126" s="153" t="s">
        <v>1638</v>
      </c>
      <c r="H126" s="155" t="s">
        <v>36</v>
      </c>
      <c r="I126" s="156">
        <v>46178</v>
      </c>
    </row>
    <row r="127" spans="1:9" ht="76.5">
      <c r="A127" s="153" t="s">
        <v>1556</v>
      </c>
      <c r="B127" s="154" t="s">
        <v>1557</v>
      </c>
      <c r="C127" s="153" t="s">
        <v>1493</v>
      </c>
      <c r="D127" s="154" t="s">
        <v>1558</v>
      </c>
      <c r="E127" s="154" t="s">
        <v>1559</v>
      </c>
      <c r="F127" s="153" t="s">
        <v>377</v>
      </c>
      <c r="G127" s="153" t="s">
        <v>1638</v>
      </c>
      <c r="H127" s="155" t="s">
        <v>36</v>
      </c>
      <c r="I127" s="156">
        <v>46178</v>
      </c>
    </row>
    <row r="128" spans="1:9" ht="102">
      <c r="A128" s="153" t="s">
        <v>1560</v>
      </c>
      <c r="B128" s="154" t="s">
        <v>1415</v>
      </c>
      <c r="C128" s="153" t="s">
        <v>1493</v>
      </c>
      <c r="D128" s="154" t="s">
        <v>1561</v>
      </c>
      <c r="E128" s="154" t="s">
        <v>1562</v>
      </c>
      <c r="F128" s="153" t="s">
        <v>377</v>
      </c>
      <c r="G128" s="153" t="s">
        <v>1638</v>
      </c>
      <c r="H128" s="155" t="s">
        <v>37</v>
      </c>
      <c r="I128" s="156">
        <v>46178</v>
      </c>
    </row>
    <row r="129" spans="1:9" ht="63.75">
      <c r="A129" s="153" t="s">
        <v>1563</v>
      </c>
      <c r="B129" s="154" t="s">
        <v>1564</v>
      </c>
      <c r="C129" s="153" t="s">
        <v>1493</v>
      </c>
      <c r="D129" s="154" t="s">
        <v>1565</v>
      </c>
      <c r="E129" s="154" t="s">
        <v>1566</v>
      </c>
      <c r="F129" s="153" t="s">
        <v>377</v>
      </c>
      <c r="G129" s="153" t="s">
        <v>1638</v>
      </c>
      <c r="H129" s="155" t="s">
        <v>37</v>
      </c>
      <c r="I129" s="156">
        <v>46178</v>
      </c>
    </row>
    <row r="130" spans="1:9" ht="63.75">
      <c r="A130" s="153" t="s">
        <v>1567</v>
      </c>
      <c r="B130" s="154" t="s">
        <v>1568</v>
      </c>
      <c r="C130" s="153" t="s">
        <v>1493</v>
      </c>
      <c r="D130" s="154" t="s">
        <v>1569</v>
      </c>
      <c r="E130" s="154" t="s">
        <v>1570</v>
      </c>
      <c r="F130" s="153" t="s">
        <v>377</v>
      </c>
      <c r="G130" s="153" t="s">
        <v>1638</v>
      </c>
      <c r="H130" s="155" t="s">
        <v>36</v>
      </c>
      <c r="I130" s="156">
        <v>46178</v>
      </c>
    </row>
    <row r="131" spans="1:9" ht="63.75">
      <c r="A131" s="153" t="s">
        <v>1571</v>
      </c>
      <c r="B131" s="154" t="s">
        <v>1572</v>
      </c>
      <c r="C131" s="153" t="s">
        <v>1493</v>
      </c>
      <c r="D131" s="154" t="s">
        <v>1573</v>
      </c>
      <c r="E131" s="154" t="s">
        <v>1574</v>
      </c>
      <c r="F131" s="153" t="s">
        <v>377</v>
      </c>
      <c r="G131" s="153" t="s">
        <v>1638</v>
      </c>
      <c r="H131" s="155" t="s">
        <v>36</v>
      </c>
      <c r="I131" s="156">
        <v>46178</v>
      </c>
    </row>
    <row r="132" spans="1:9" ht="51">
      <c r="A132" s="153" t="s">
        <v>1575</v>
      </c>
      <c r="B132" s="154" t="s">
        <v>1576</v>
      </c>
      <c r="C132" s="153" t="s">
        <v>1493</v>
      </c>
      <c r="D132" s="154" t="s">
        <v>1577</v>
      </c>
      <c r="E132" s="154" t="s">
        <v>1578</v>
      </c>
      <c r="F132" s="153" t="s">
        <v>377</v>
      </c>
      <c r="G132" s="153" t="s">
        <v>1638</v>
      </c>
      <c r="H132" s="155" t="s">
        <v>36</v>
      </c>
      <c r="I132" s="156">
        <v>46178</v>
      </c>
    </row>
    <row r="133" spans="1:9" ht="63.75">
      <c r="A133" s="153" t="s">
        <v>1579</v>
      </c>
      <c r="B133" s="154" t="s">
        <v>1580</v>
      </c>
      <c r="C133" s="153" t="s">
        <v>1493</v>
      </c>
      <c r="D133" s="154" t="s">
        <v>1581</v>
      </c>
      <c r="E133" s="154" t="s">
        <v>1582</v>
      </c>
      <c r="F133" s="153" t="s">
        <v>377</v>
      </c>
      <c r="G133" s="153" t="s">
        <v>1638</v>
      </c>
      <c r="H133" s="155" t="s">
        <v>36</v>
      </c>
      <c r="I133" s="156">
        <v>46178</v>
      </c>
    </row>
    <row r="134" spans="1:9" ht="63.75">
      <c r="A134" s="153" t="s">
        <v>1583</v>
      </c>
      <c r="B134" s="154" t="s">
        <v>1276</v>
      </c>
      <c r="C134" s="153" t="s">
        <v>1493</v>
      </c>
      <c r="D134" s="154" t="s">
        <v>1584</v>
      </c>
      <c r="E134" s="154" t="s">
        <v>1585</v>
      </c>
      <c r="F134" s="153" t="s">
        <v>377</v>
      </c>
      <c r="G134" s="153" t="s">
        <v>1638</v>
      </c>
      <c r="H134" s="155" t="s">
        <v>36</v>
      </c>
      <c r="I134" s="156">
        <v>46178</v>
      </c>
    </row>
    <row r="135" spans="1:9" ht="76.5">
      <c r="A135" s="153" t="s">
        <v>1586</v>
      </c>
      <c r="B135" s="154" t="s">
        <v>1587</v>
      </c>
      <c r="C135" s="153" t="s">
        <v>1493</v>
      </c>
      <c r="D135" s="154" t="s">
        <v>1588</v>
      </c>
      <c r="E135" s="154" t="s">
        <v>1589</v>
      </c>
      <c r="F135" s="153" t="s">
        <v>377</v>
      </c>
      <c r="G135" s="153" t="s">
        <v>1638</v>
      </c>
      <c r="H135" s="155" t="s">
        <v>36</v>
      </c>
      <c r="I135" s="156">
        <v>46178</v>
      </c>
    </row>
    <row r="136" spans="1:9" ht="51">
      <c r="A136" t="s">
        <v>1590</v>
      </c>
      <c r="B136" t="s">
        <v>1591</v>
      </c>
      <c r="C136" t="s">
        <v>1493</v>
      </c>
      <c r="D136" t="s">
        <v>1592</v>
      </c>
      <c r="E136" s="158" t="s">
        <v>1593</v>
      </c>
      <c r="F136" s="153" t="s">
        <v>377</v>
      </c>
      <c r="G136" s="153" t="s">
        <v>1638</v>
      </c>
      <c r="H136" t="s">
        <v>36</v>
      </c>
      <c r="I136" s="159">
        <v>46178</v>
      </c>
    </row>
    <row r="137" spans="1:9" ht="63.75">
      <c r="A137" t="s">
        <v>1594</v>
      </c>
      <c r="B137" t="s">
        <v>1595</v>
      </c>
      <c r="C137" t="s">
        <v>1493</v>
      </c>
      <c r="D137" t="s">
        <v>1596</v>
      </c>
      <c r="E137" s="158" t="s">
        <v>1597</v>
      </c>
      <c r="F137" s="153" t="s">
        <v>377</v>
      </c>
      <c r="G137" s="153" t="s">
        <v>1638</v>
      </c>
      <c r="H137" t="s">
        <v>36</v>
      </c>
      <c r="I137" s="159">
        <v>46178</v>
      </c>
    </row>
    <row r="138" spans="1:9" ht="63.75">
      <c r="A138" t="s">
        <v>1598</v>
      </c>
      <c r="B138" t="s">
        <v>1497</v>
      </c>
      <c r="C138" t="s">
        <v>1493</v>
      </c>
      <c r="D138" t="s">
        <v>1599</v>
      </c>
      <c r="E138" s="158" t="s">
        <v>1600</v>
      </c>
      <c r="F138" s="153" t="s">
        <v>377</v>
      </c>
      <c r="G138" s="153" t="s">
        <v>1638</v>
      </c>
      <c r="H138" t="s">
        <v>36</v>
      </c>
      <c r="I138" s="159">
        <v>46178</v>
      </c>
    </row>
    <row r="139" spans="1:9" ht="63.75">
      <c r="A139" t="s">
        <v>1601</v>
      </c>
      <c r="B139" t="s">
        <v>1602</v>
      </c>
      <c r="C139" t="s">
        <v>1493</v>
      </c>
      <c r="D139" t="s">
        <v>1603</v>
      </c>
      <c r="E139" s="158" t="s">
        <v>1604</v>
      </c>
      <c r="F139" s="153" t="s">
        <v>377</v>
      </c>
      <c r="G139" s="153" t="s">
        <v>1638</v>
      </c>
      <c r="H139" t="s">
        <v>36</v>
      </c>
      <c r="I139" s="159">
        <v>46178</v>
      </c>
    </row>
    <row r="140" spans="1:9" ht="102">
      <c r="A140" t="s">
        <v>1605</v>
      </c>
      <c r="B140" t="s">
        <v>1606</v>
      </c>
      <c r="C140" t="s">
        <v>1493</v>
      </c>
      <c r="D140" s="158" t="s">
        <v>1607</v>
      </c>
      <c r="E140" s="158" t="s">
        <v>1608</v>
      </c>
      <c r="F140" s="153" t="s">
        <v>377</v>
      </c>
      <c r="G140" s="153" t="s">
        <v>1638</v>
      </c>
      <c r="H140" t="s">
        <v>36</v>
      </c>
      <c r="I140" s="159">
        <v>46178</v>
      </c>
    </row>
    <row r="141" spans="1:9" ht="63.75">
      <c r="A141" t="s">
        <v>1609</v>
      </c>
      <c r="B141" t="s">
        <v>1610</v>
      </c>
      <c r="C141" t="s">
        <v>1493</v>
      </c>
      <c r="D141" s="158" t="s">
        <v>1611</v>
      </c>
      <c r="E141" s="158" t="s">
        <v>1612</v>
      </c>
      <c r="F141" s="153" t="s">
        <v>377</v>
      </c>
      <c r="G141" s="153" t="s">
        <v>1638</v>
      </c>
      <c r="H141" t="s">
        <v>37</v>
      </c>
      <c r="I141" s="159">
        <v>46178</v>
      </c>
    </row>
    <row r="142" spans="1:9" ht="114.75">
      <c r="A142" t="s">
        <v>1613</v>
      </c>
      <c r="B142" t="s">
        <v>1614</v>
      </c>
      <c r="C142" t="s">
        <v>1493</v>
      </c>
      <c r="D142" t="s">
        <v>1615</v>
      </c>
      <c r="E142" s="158" t="s">
        <v>1616</v>
      </c>
      <c r="F142" s="153" t="s">
        <v>377</v>
      </c>
      <c r="G142" s="153" t="s">
        <v>1638</v>
      </c>
      <c r="H142" t="s">
        <v>36</v>
      </c>
      <c r="I142" s="159">
        <v>46178</v>
      </c>
    </row>
    <row r="143" spans="1:9" ht="63.75">
      <c r="A143" t="s">
        <v>1617</v>
      </c>
      <c r="B143" t="s">
        <v>1618</v>
      </c>
      <c r="C143" t="s">
        <v>1493</v>
      </c>
      <c r="D143" t="s">
        <v>1619</v>
      </c>
      <c r="E143" s="158" t="s">
        <v>1620</v>
      </c>
      <c r="F143" s="153" t="s">
        <v>377</v>
      </c>
      <c r="G143" s="153" t="s">
        <v>1638</v>
      </c>
      <c r="H143" t="s">
        <v>36</v>
      </c>
      <c r="I143" s="159">
        <v>46178</v>
      </c>
    </row>
    <row r="144" spans="1:9" ht="89.25">
      <c r="A144" t="s">
        <v>1621</v>
      </c>
      <c r="B144" t="s">
        <v>1622</v>
      </c>
      <c r="C144" t="s">
        <v>1493</v>
      </c>
      <c r="D144" s="158" t="s">
        <v>1623</v>
      </c>
      <c r="E144" s="158" t="s">
        <v>1624</v>
      </c>
      <c r="F144" s="153" t="s">
        <v>377</v>
      </c>
      <c r="G144" s="153" t="s">
        <v>1638</v>
      </c>
      <c r="H144" t="s">
        <v>36</v>
      </c>
      <c r="I144" s="159">
        <v>46178</v>
      </c>
    </row>
    <row r="145" spans="1:9" ht="63.75">
      <c r="A145" t="s">
        <v>1625</v>
      </c>
      <c r="B145" t="s">
        <v>1626</v>
      </c>
      <c r="C145" t="s">
        <v>1493</v>
      </c>
      <c r="D145" t="s">
        <v>1627</v>
      </c>
      <c r="E145" s="158" t="s">
        <v>1628</v>
      </c>
      <c r="F145" s="153" t="s">
        <v>377</v>
      </c>
      <c r="G145" s="153" t="s">
        <v>1638</v>
      </c>
      <c r="H145" t="s">
        <v>36</v>
      </c>
      <c r="I145" s="159">
        <v>46178</v>
      </c>
    </row>
    <row r="146" spans="1:9" ht="102">
      <c r="A146" t="s">
        <v>1629</v>
      </c>
      <c r="B146" t="s">
        <v>1630</v>
      </c>
      <c r="C146" t="s">
        <v>1631</v>
      </c>
      <c r="D146" t="s">
        <v>1632</v>
      </c>
      <c r="E146" s="158" t="s">
        <v>1633</v>
      </c>
      <c r="F146" s="153" t="s">
        <v>377</v>
      </c>
      <c r="G146" s="153" t="s">
        <v>1638</v>
      </c>
      <c r="H146" t="s">
        <v>36</v>
      </c>
      <c r="I146" s="159">
        <v>46178</v>
      </c>
    </row>
    <row r="147" spans="1:9" ht="76.5">
      <c r="A147" t="s">
        <v>1634</v>
      </c>
      <c r="B147" t="s">
        <v>1635</v>
      </c>
      <c r="C147" t="s">
        <v>1631</v>
      </c>
      <c r="D147" t="s">
        <v>1636</v>
      </c>
      <c r="E147" s="158" t="s">
        <v>1637</v>
      </c>
      <c r="F147" s="153" t="s">
        <v>377</v>
      </c>
      <c r="G147" s="153" t="s">
        <v>1638</v>
      </c>
      <c r="H147" t="s">
        <v>36</v>
      </c>
      <c r="I147" s="159">
        <v>46178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Test Case</vt:lpstr>
      <vt:lpstr>Test Statistics</vt:lpstr>
      <vt:lpstr>Feature 1</vt:lpstr>
      <vt:lpstr>Feature 2</vt:lpstr>
      <vt:lpstr>Feature 3</vt:lpstr>
      <vt:lpstr>Feature 4</vt:lpstr>
      <vt:lpstr>Feature 5</vt:lpstr>
      <vt:lpstr>Total API</vt:lpstr>
      <vt:lpstr>Trang tính28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dc:creator>
  <cp:lastModifiedBy>Dat Huynh Phong</cp:lastModifiedBy>
  <dcterms:modified xsi:type="dcterms:W3CDTF">2026-06-29T17:34:15Z</dcterms:modified>
</cp:coreProperties>
</file>